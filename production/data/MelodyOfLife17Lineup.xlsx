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elody-of-life-17-planner\data\"/>
    </mc:Choice>
  </mc:AlternateContent>
  <xr:revisionPtr revIDLastSave="0" documentId="13_ncr:1_{E2519456-8926-4368-94AE-1A0FCA87B20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Data" sheetId="1" r:id="rId1"/>
    <sheet name="StageConfig" sheetId="2" r:id="rId2"/>
    <sheet name="FestivalConfig" sheetId="5" r:id="rId3"/>
  </sheets>
  <definedNames>
    <definedName name="FestivalDates" localSheetId="2">Date[Date]</definedName>
    <definedName name="StageID" localSheetId="1">Stage[StageID]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3" i="1" l="1"/>
  <c r="A84" i="1"/>
  <c r="A85" i="1"/>
  <c r="A86" i="1"/>
  <c r="A87" i="1"/>
  <c r="D83" i="1"/>
  <c r="D84" i="1"/>
  <c r="D85" i="1"/>
  <c r="D86" i="1"/>
  <c r="D87" i="1"/>
  <c r="E83" i="1"/>
  <c r="E84" i="1"/>
  <c r="E85" i="1"/>
  <c r="E86" i="1"/>
  <c r="E87" i="1"/>
  <c r="A72" i="1"/>
  <c r="A73" i="1"/>
  <c r="A74" i="1"/>
  <c r="A75" i="1"/>
  <c r="A76" i="1"/>
  <c r="A77" i="1"/>
  <c r="A78" i="1"/>
  <c r="A79" i="1"/>
  <c r="A80" i="1"/>
  <c r="A81" i="1"/>
  <c r="A82" i="1"/>
  <c r="D72" i="1"/>
  <c r="D73" i="1"/>
  <c r="D74" i="1"/>
  <c r="D75" i="1"/>
  <c r="D76" i="1"/>
  <c r="D77" i="1"/>
  <c r="D78" i="1"/>
  <c r="D79" i="1"/>
  <c r="D80" i="1"/>
  <c r="D81" i="1"/>
  <c r="D82" i="1"/>
  <c r="E72" i="1"/>
  <c r="E73" i="1"/>
  <c r="E74" i="1"/>
  <c r="E75" i="1"/>
  <c r="E76" i="1"/>
  <c r="E77" i="1"/>
  <c r="E78" i="1"/>
  <c r="E79" i="1"/>
  <c r="E80" i="1"/>
  <c r="E81" i="1"/>
  <c r="E82" i="1"/>
  <c r="D2" i="1" l="1"/>
  <c r="D8" i="1" l="1"/>
  <c r="A20" i="1"/>
  <c r="A22" i="1" s="1"/>
  <c r="A21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A23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A24" i="1" l="1"/>
  <c r="D3" i="1"/>
  <c r="D4" i="1"/>
  <c r="D5" i="1"/>
  <c r="D6" i="1"/>
  <c r="D7" i="1"/>
  <c r="D9" i="1"/>
  <c r="D10" i="1"/>
  <c r="D11" i="1"/>
  <c r="D12" i="1"/>
  <c r="D13" i="1"/>
  <c r="D14" i="1"/>
  <c r="D15" i="1"/>
  <c r="D16" i="1"/>
  <c r="D17" i="1"/>
  <c r="D18" i="1"/>
  <c r="D19" i="1"/>
  <c r="A15" i="1"/>
  <c r="A16" i="1"/>
  <c r="A17" i="1"/>
  <c r="A18" i="1"/>
  <c r="A19" i="1"/>
  <c r="A2" i="1"/>
  <c r="A11" i="1"/>
  <c r="A12" i="1"/>
  <c r="A13" i="1"/>
  <c r="A14" i="1"/>
  <c r="A25" i="1" l="1"/>
  <c r="A26" i="1"/>
  <c r="A3" i="1"/>
  <c r="A27" i="1" l="1"/>
  <c r="A4" i="1"/>
  <c r="A28" i="1" l="1"/>
  <c r="A29" i="1" s="1"/>
  <c r="A30" i="1" s="1"/>
  <c r="A5" i="1"/>
  <c r="A6" i="1"/>
  <c r="A31" i="1" l="1"/>
  <c r="A7" i="1"/>
  <c r="A8" i="1" s="1"/>
  <c r="A9" i="1" s="1"/>
  <c r="A32" i="1" l="1"/>
  <c r="A10" i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<sst xmlns="http://schemas.openxmlformats.org/spreadsheetml/2006/main" count="189" uniqueCount="102">
  <si>
    <t>ID</t>
  </si>
  <si>
    <t>Artist</t>
  </si>
  <si>
    <t>Date</t>
  </si>
  <si>
    <t>Day</t>
  </si>
  <si>
    <t>Stage</t>
  </si>
  <si>
    <t>Start</t>
  </si>
  <si>
    <t>End</t>
  </si>
  <si>
    <t>A</t>
  </si>
  <si>
    <t>B</t>
  </si>
  <si>
    <t>C</t>
  </si>
  <si>
    <t>D</t>
  </si>
  <si>
    <t>StageID</t>
  </si>
  <si>
    <t>StageName</t>
  </si>
  <si>
    <t>F.HERO</t>
  </si>
  <si>
    <t>MEYOU</t>
  </si>
  <si>
    <t>JAY Q</t>
  </si>
  <si>
    <t>TILLY BIRDS</t>
  </si>
  <si>
    <t>LOMOSONIC</t>
  </si>
  <si>
    <t>NO ONE ELSE</t>
  </si>
  <si>
    <t>WHAL &amp; DOLPH</t>
  </si>
  <si>
    <t>TOBII</t>
  </si>
  <si>
    <t>BLVCKHEART</t>
  </si>
  <si>
    <t>MAIYARAP</t>
  </si>
  <si>
    <t>SQWEEZ ANIMAL</t>
  </si>
  <si>
    <t>NAP A LEAN</t>
  </si>
  <si>
    <t>BETTER WEATHER</t>
  </si>
  <si>
    <t>PLAYGROUND</t>
  </si>
  <si>
    <t>KACHAIN</t>
  </si>
  <si>
    <t>MAX JENMANA</t>
  </si>
  <si>
    <t>ELECTRIC.NEON.LAMP</t>
  </si>
  <si>
    <t>MAKARA</t>
  </si>
  <si>
    <t>JOKE ISCREAM</t>
  </si>
  <si>
    <t>SOBBOY</t>
  </si>
  <si>
    <t>SHERRY</t>
  </si>
  <si>
    <t>SERIOUS BACON</t>
  </si>
  <si>
    <t>NINEOKMAI</t>
  </si>
  <si>
    <t>TWODAYS</t>
  </si>
  <si>
    <t>MURRPH.</t>
  </si>
  <si>
    <t>THE RUBE FT. LULA</t>
  </si>
  <si>
    <t>FLOWER.FAR</t>
  </si>
  <si>
    <t>ARTY</t>
  </si>
  <si>
    <t>MACHINE.</t>
  </si>
  <si>
    <t>BANK SORNRAM</t>
  </si>
  <si>
    <t>VIIS</t>
  </si>
  <si>
    <t>LUMIN+US</t>
  </si>
  <si>
    <t>DEADKAT</t>
  </si>
  <si>
    <t>VIINX</t>
  </si>
  <si>
    <t>PANPAN YEEYEE</t>
  </si>
  <si>
    <t>MILLER</t>
  </si>
  <si>
    <t>LOSTBEANS</t>
  </si>
  <si>
    <t>VARIS</t>
  </si>
  <si>
    <t>PAWITT</t>
  </si>
  <si>
    <t>FRONC X WINNING</t>
  </si>
  <si>
    <t>MICMAC</t>
  </si>
  <si>
    <t>TACE</t>
  </si>
  <si>
    <t>FAVIQ</t>
  </si>
  <si>
    <t>WHITEBRIDGE</t>
  </si>
  <si>
    <t>Earth Stage</t>
  </si>
  <si>
    <t>Sun Stage</t>
  </si>
  <si>
    <t>Wave Stage</t>
  </si>
  <si>
    <t>Wind Stage</t>
  </si>
  <si>
    <t>THE PAKINSON</t>
  </si>
  <si>
    <t>AYLA's</t>
  </si>
  <si>
    <t>SLOT MATCHINE</t>
  </si>
  <si>
    <t>MOLON</t>
  </si>
  <si>
    <t>KOBE</t>
  </si>
  <si>
    <t>T!NE</t>
  </si>
  <si>
    <t>SOK</t>
  </si>
  <si>
    <t>CLOCKWORK MOTIONLESS</t>
  </si>
  <si>
    <t>THE PARADISE BANGKOK MOLAM INTRENATIONAL BAND</t>
  </si>
  <si>
    <t>WAV</t>
  </si>
  <si>
    <t>MOVING AND CUT</t>
  </si>
  <si>
    <t>TELEVISION OFF</t>
  </si>
  <si>
    <t>MUTE.</t>
  </si>
  <si>
    <t>DRIVER BOY</t>
  </si>
  <si>
    <t>PAE ARAK</t>
  </si>
  <si>
    <t>THE RICHMAN TOY</t>
  </si>
  <si>
    <t>SPAWN STAGE CONTEST - HIGH SCHOOL DIVISION</t>
  </si>
  <si>
    <t>SPAWN STAGE CONTEST - UNIVERSITY DIVISION</t>
  </si>
  <si>
    <t>QEETHA JIGSAW STORY</t>
  </si>
  <si>
    <t>CHALA DEEN</t>
  </si>
  <si>
    <t>FOOL STEP</t>
  </si>
  <si>
    <t>PURPLECAT</t>
  </si>
  <si>
    <t>TIGGER</t>
  </si>
  <si>
    <t>SLAPKISS</t>
  </si>
  <si>
    <t>2ECTASY - JEFFY KAKAGOESBANKHOME</t>
  </si>
  <si>
    <t>THE GE</t>
  </si>
  <si>
    <t>JUCK_JR</t>
  </si>
  <si>
    <t>PATRICK NOEL</t>
  </si>
  <si>
    <t>MILLIESNOW</t>
  </si>
  <si>
    <t>LaONGFONG</t>
  </si>
  <si>
    <t>JAAR PROUDPETCH</t>
  </si>
  <si>
    <t>HATABITO</t>
  </si>
  <si>
    <t>QViNT</t>
  </si>
  <si>
    <t>CHILLIZ</t>
  </si>
  <si>
    <t>MEILEE TAL</t>
  </si>
  <si>
    <t>MBOW IGI MUSSEAW</t>
  </si>
  <si>
    <t>SLAMDUCK</t>
  </si>
  <si>
    <t>PLOYÉ</t>
  </si>
  <si>
    <t>MARKPOOM</t>
  </si>
  <si>
    <t>DEBEST + ZIYEN + BBRACE</t>
  </si>
  <si>
    <t>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</si>
</sst>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"/>
    <numFmt numFmtId="188" formatCode="yyyy\-mm\-dd;@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IBM Plex Sans Thai"/>
      <charset val="222"/>
    </font>
    <font>
      <sz val="12"/>
      <color theme="1"/>
      <name val="IBM Plex Sans Thai"/>
      <charset val="222"/>
    </font>
    <font>
      <sz val="11"/>
      <color theme="1"/>
      <name val="IBM Plex Sans Thai"/>
      <family val="2"/>
    </font>
    <font>
      <sz val="11"/>
      <color theme="1"/>
      <name val="IBM Plex Sans Thai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Border="1" applyAlignment="1">
      <alignment horizontal="center" vertical="center"/>
    </xf>
    <xf numFmtId="188" fontId="1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87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7" fontId="1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187" fontId="3" fillId="0" borderId="0" xfId="0" applyNumberFormat="1" applyFont="1" applyAlignment="1">
      <alignment horizontal="center" vertical="center"/>
    </xf>
    <xf numFmtId="187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ปกติ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188" formatCode="yyyy\-mm\-dd;@"/>
      <alignment horizontal="center"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IBM Plex Sans Thai"/>
        <charset val="222"/>
        <scheme val="none"/>
      </font>
      <numFmt numFmtId="188" formatCode="yyyy\-mm\-dd;@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25" formatCode="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25" formatCode="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25" formatCode="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187" formatCode="yyyy\-mm\-dd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IBM Plex Sans Thai"/>
        <charset val="22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IBM Plex Sans Thai"/>
        <charset val="22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fill>
        <patternFill>
          <bgColor rgb="FFFF3F3F"/>
        </patternFill>
      </fill>
    </dxf>
    <dxf>
      <font>
        <color auto="1"/>
      </font>
      <fill>
        <patternFill>
          <bgColor rgb="FF9F5FCF"/>
        </patternFill>
      </fill>
    </dxf>
    <dxf>
      <font>
        <color auto="1"/>
      </font>
      <fill>
        <patternFill>
          <bgColor rgb="FF2DC8FF"/>
        </patternFill>
      </fill>
    </dxf>
  </dxfs>
  <tableStyles count="0" defaultTableStyle="TableStyleMedium2" defaultPivotStyle="PivotStyleLight16"/>
  <colors>
    <mruColors>
      <color rgb="FFFF3F3F"/>
      <color rgb="FF9F5FCF"/>
      <color rgb="FF2D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4C8F7-FA2A-4329-A41C-121C8178ECD2}" name="Data" displayName="Data" ref="A1:H86" totalsRowShown="0" headerRowDxfId="19" dataDxfId="18">
  <tableColumns count="8">
    <tableColumn id="1" xr3:uid="{97AC2AFF-EB68-4DD1-8D44-D57CADE19D9E}" name="ID" dataDxfId="17">
      <calculatedColumnFormula>IF(B2="","",MAX($A$1:A1)+1)</calculatedColumnFormula>
    </tableColumn>
    <tableColumn id="2" xr3:uid="{612941EF-09F6-4563-A889-0BBA62EDC4E2}" name="Artist" dataDxfId="16"/>
    <tableColumn id="3" xr3:uid="{97B76AAB-AE80-4B62-B097-2456478F4F54}" name="Date" dataDxfId="15"/>
    <tableColumn id="4" xr3:uid="{917D9997-B165-44A6-BC5F-47E4CC5D232A}" name="Day" dataDxfId="14">
      <calculatedColumnFormula>IF(C2="","",CHOOSE(WEEKDAY(C2,2),"จันทร์","อังคาร","พุธ","พฤหัสบดี","ศุกร์","เสาร์","อาทิตย์"))</calculatedColumnFormula>
    </tableColumn>
    <tableColumn id="5" xr3:uid="{802E6ECA-348E-417B-8968-3F41888CE32A}" name="Stage" dataDxfId="13">
      <calculatedColumnFormula>IF(H2="","",IFERROR(VLOOKUP(H2,StageConfig!$A$2:$B$5,2,FALSE),""))</calculatedColumnFormula>
    </tableColumn>
    <tableColumn id="6" xr3:uid="{C0E20C9D-B3A0-4669-B0FE-246C675ED1AA}" name="Start" dataDxfId="12"/>
    <tableColumn id="7" xr3:uid="{B26C09E4-4335-4C0A-A4D7-99A8CF7CCD56}" name="End" dataDxfId="11"/>
    <tableColumn id="11" xr3:uid="{040CE6C7-8B11-41B8-BC0F-99BD2B3CB16B}" name="StageID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7795A8-9B75-4ACC-B0F6-FAD46D568115}" name="Stage" displayName="Stage" ref="A1:B5" totalsRowShown="0" headerRowDxfId="9" dataDxfId="8">
  <tableColumns count="2">
    <tableColumn id="1" xr3:uid="{4F56BED1-6CD4-470E-8EC7-1332CD2E3A74}" name="StageID" dataDxfId="7"/>
    <tableColumn id="2" xr3:uid="{6FAE8310-7431-4469-9DB5-F2D6DC4DD71F}" name="StageName" dataDxfId="6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944CD-395A-4562-9671-F2385C9EB206}" name="Date" displayName="Date" ref="A1:A4" totalsRowShown="0" headerRowDxfId="5" dataDxfId="3" headerRowBorderDxfId="4" tableBorderDxfId="2" totalsRowBorderDxfId="1">
  <tableColumns count="1">
    <tableColumn id="1" xr3:uid="{D7C0C55B-040D-49F8-B79B-10CD22E8C77A}" name="Dat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87"/>
  <sheetViews>
    <sheetView tabSelected="1" topLeftCell="A69" zoomScale="85" zoomScaleNormal="85" workbookViewId="0">
      <selection activeCell="G81" sqref="G81"/>
    </sheetView>
  </sheetViews>
  <sheetFormatPr defaultRowHeight="19.8" x14ac:dyDescent="0.25"/>
  <cols>
    <col min="1" max="1" width="8.59765625" style="18" customWidth="1"/>
    <col min="2" max="2" width="28.796875" style="14" customWidth="1"/>
    <col min="3" max="3" width="13.3984375" style="22" customWidth="1"/>
    <col min="4" max="4" width="8.796875" style="18" customWidth="1"/>
    <col min="5" max="5" width="11.69921875" style="18" customWidth="1"/>
    <col min="6" max="7" width="10" style="18" customWidth="1"/>
    <col min="8" max="8" width="10.8984375" style="18" customWidth="1"/>
    <col min="9" max="16384" width="8.796875" style="1"/>
  </cols>
  <sheetData>
    <row r="1" spans="1:8" ht="41.4" customHeight="1" x14ac:dyDescent="0.25">
      <c r="A1" s="9" t="s">
        <v>0</v>
      </c>
      <c r="B1" s="11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11</v>
      </c>
    </row>
    <row r="2" spans="1:8" x14ac:dyDescent="0.25">
      <c r="A2" s="5">
        <f>IF(B2="","",MAX($A$1:A1)+1)</f>
        <v>1</v>
      </c>
      <c r="B2" s="12" t="s">
        <v>42</v>
      </c>
      <c r="C2" s="19">
        <v>46312</v>
      </c>
      <c r="D2" s="5" t="str">
        <f>IF(C2="","",CHOOSE(WEEKDAY(C2,2),"จันทร์","อังคาร","พุธ","พฤหัสบดี","ศุกร์","เสาร์","อาทิตย์"))</f>
        <v>เสาร์</v>
      </c>
      <c r="E2" s="5" t="str">
        <f>IF(H2="","",IFERROR(VLOOKUP(H2,StageConfig!$A$2:$B$5,2,FALSE),""))</f>
        <v>Earth Stage</v>
      </c>
      <c r="F2" s="7">
        <v>0.64583333333333337</v>
      </c>
      <c r="G2" s="7">
        <v>0.67361111111111116</v>
      </c>
      <c r="H2" s="5" t="s">
        <v>7</v>
      </c>
    </row>
    <row r="3" spans="1:8" x14ac:dyDescent="0.25">
      <c r="A3" s="5">
        <f>IF(B3="","",MAX($A$1:A2)+1)</f>
        <v>2</v>
      </c>
      <c r="B3" s="12" t="s">
        <v>61</v>
      </c>
      <c r="C3" s="19">
        <v>46312</v>
      </c>
      <c r="D3" s="5" t="str">
        <f t="shared" ref="D3:D19" si="0">IF(C3="","",CHOOSE(WEEKDAY(C3,2),"จันทร์","อังคาร","พุธ","พฤหัสบดี","ศุกร์","เสาร์","อาทิตย์"))</f>
        <v>เสาร์</v>
      </c>
      <c r="E3" s="5" t="str">
        <f>IF(H3="","",IFERROR(VLOOKUP(H3,StageConfig!$A$2:$B$5,2,FALSE),""))</f>
        <v>Earth Stage</v>
      </c>
      <c r="F3" s="7">
        <v>0.68402777777777779</v>
      </c>
      <c r="G3" s="7">
        <v>0.71180555555555547</v>
      </c>
      <c r="H3" s="5" t="s">
        <v>7</v>
      </c>
    </row>
    <row r="4" spans="1:8" x14ac:dyDescent="0.25">
      <c r="A4" s="5">
        <f>IF(B4="","",MAX($A$1:A3)+1)</f>
        <v>3</v>
      </c>
      <c r="B4" s="12" t="s">
        <v>14</v>
      </c>
      <c r="C4" s="19">
        <v>46312</v>
      </c>
      <c r="D4" s="5" t="str">
        <f t="shared" si="0"/>
        <v>เสาร์</v>
      </c>
      <c r="E4" s="5" t="str">
        <f>IF(H4="","",IFERROR(VLOOKUP(H4,StageConfig!$A$2:$B$5,2,FALSE),""))</f>
        <v>Earth Stage</v>
      </c>
      <c r="F4" s="7">
        <v>0.72222222222222221</v>
      </c>
      <c r="G4" s="7">
        <v>0.75</v>
      </c>
      <c r="H4" s="5" t="s">
        <v>7</v>
      </c>
    </row>
    <row r="5" spans="1:8" x14ac:dyDescent="0.25">
      <c r="A5" s="5">
        <f>IF(B5="","",MAX($A$1:A4)+1)</f>
        <v>4</v>
      </c>
      <c r="B5" s="12" t="s">
        <v>15</v>
      </c>
      <c r="C5" s="19">
        <v>46312</v>
      </c>
      <c r="D5" s="5" t="str">
        <f t="shared" si="0"/>
        <v>เสาร์</v>
      </c>
      <c r="E5" s="5" t="str">
        <f>IF(H5="","",IFERROR(VLOOKUP(H5,StageConfig!$A$2:$B$5,2,FALSE),""))</f>
        <v>Earth Stage</v>
      </c>
      <c r="F5" s="7">
        <v>0.76041666666666663</v>
      </c>
      <c r="G5" s="7">
        <v>0.78819444444444453</v>
      </c>
      <c r="H5" s="5" t="s">
        <v>7</v>
      </c>
    </row>
    <row r="6" spans="1:8" x14ac:dyDescent="0.25">
      <c r="A6" s="5">
        <f>IF(B6="","",MAX($A$1:A5)+1)</f>
        <v>5</v>
      </c>
      <c r="B6" s="12" t="s">
        <v>20</v>
      </c>
      <c r="C6" s="19">
        <v>46312</v>
      </c>
      <c r="D6" s="5" t="str">
        <f t="shared" si="0"/>
        <v>เสาร์</v>
      </c>
      <c r="E6" s="5" t="str">
        <f>IF(H6="","",IFERROR(VLOOKUP(H6,StageConfig!$A$2:$B$5,2,FALSE),""))</f>
        <v>Earth Stage</v>
      </c>
      <c r="F6" s="7">
        <v>0.79861111111111116</v>
      </c>
      <c r="G6" s="7">
        <v>0.82638888888888884</v>
      </c>
      <c r="H6" s="5" t="s">
        <v>7</v>
      </c>
    </row>
    <row r="7" spans="1:8" x14ac:dyDescent="0.25">
      <c r="A7" s="5">
        <f>IF(B7="","",MAX($A$1:A6)+1)</f>
        <v>6</v>
      </c>
      <c r="B7" s="12" t="s">
        <v>21</v>
      </c>
      <c r="C7" s="19">
        <v>46312</v>
      </c>
      <c r="D7" s="5" t="str">
        <f t="shared" si="0"/>
        <v>เสาร์</v>
      </c>
      <c r="E7" s="5" t="str">
        <f>IF(H7="","",IFERROR(VLOOKUP(H7,StageConfig!$A$2:$B$5,2,FALSE),""))</f>
        <v>Earth Stage</v>
      </c>
      <c r="F7" s="7">
        <v>0.83680555555555547</v>
      </c>
      <c r="G7" s="7">
        <v>0.86458333333333337</v>
      </c>
      <c r="H7" s="5" t="s">
        <v>7</v>
      </c>
    </row>
    <row r="8" spans="1:8" x14ac:dyDescent="0.25">
      <c r="A8" s="5">
        <f>IF(B8="","",MAX($A$1:A7)+1)</f>
        <v>7</v>
      </c>
      <c r="B8" s="12" t="s">
        <v>22</v>
      </c>
      <c r="C8" s="19">
        <v>46312</v>
      </c>
      <c r="D8" s="5" t="str">
        <f>IF(C8="","",CHOOSE(WEEKDAY(C8,2),"จันทร์","อังคาร","พุธ","พฤหัสบดี","ศุกร์","เสาร์","อาทิตย์"))</f>
        <v>เสาร์</v>
      </c>
      <c r="E8" s="5" t="str">
        <f>IF(H8="","",IFERROR(VLOOKUP(H8,StageConfig!$A$2:$B$5,2,FALSE),""))</f>
        <v>Earth Stage</v>
      </c>
      <c r="F8" s="7">
        <v>0.875</v>
      </c>
      <c r="G8" s="7">
        <v>0.90277777777777779</v>
      </c>
      <c r="H8" s="5" t="s">
        <v>7</v>
      </c>
    </row>
    <row r="9" spans="1:8" x14ac:dyDescent="0.25">
      <c r="A9" s="5">
        <f>IF(B9="","",MAX($A$1:A8)+1)</f>
        <v>8</v>
      </c>
      <c r="B9" s="12" t="s">
        <v>31</v>
      </c>
      <c r="C9" s="19">
        <v>46313</v>
      </c>
      <c r="D9" s="5" t="str">
        <f t="shared" si="0"/>
        <v>อาทิตย์</v>
      </c>
      <c r="E9" s="5" t="str">
        <f>IF(H9="","",IFERROR(VLOOKUP(H9,StageConfig!$A$2:$B$5,2,FALSE),""))</f>
        <v>Earth Stage</v>
      </c>
      <c r="F9" s="7">
        <v>0.64583333333333337</v>
      </c>
      <c r="G9" s="7">
        <v>0.67361111111111116</v>
      </c>
      <c r="H9" s="5" t="s">
        <v>7</v>
      </c>
    </row>
    <row r="10" spans="1:8" x14ac:dyDescent="0.25">
      <c r="A10" s="5">
        <f>IF(B10="","",MAX($A$1:A9)+1)</f>
        <v>9</v>
      </c>
      <c r="B10" s="12" t="s">
        <v>19</v>
      </c>
      <c r="C10" s="19">
        <v>46313</v>
      </c>
      <c r="D10" s="5" t="str">
        <f t="shared" si="0"/>
        <v>อาทิตย์</v>
      </c>
      <c r="E10" s="5" t="str">
        <f>IF(H10="","",IFERROR(VLOOKUP(H10,StageConfig!$A$2:$B$5,2,FALSE),""))</f>
        <v>Earth Stage</v>
      </c>
      <c r="F10" s="7">
        <v>0.68402777777777779</v>
      </c>
      <c r="G10" s="7">
        <v>0.71180555555555547</v>
      </c>
      <c r="H10" s="5" t="s">
        <v>7</v>
      </c>
    </row>
    <row r="11" spans="1:8" x14ac:dyDescent="0.25">
      <c r="A11" s="5">
        <f>IF(B11="","",MAX($A$1:A10)+1)</f>
        <v>10</v>
      </c>
      <c r="B11" s="12" t="s">
        <v>62</v>
      </c>
      <c r="C11" s="19">
        <v>46313</v>
      </c>
      <c r="D11" s="5" t="str">
        <f t="shared" si="0"/>
        <v>อาทิตย์</v>
      </c>
      <c r="E11" s="5" t="str">
        <f>IF(H11="","",IFERROR(VLOOKUP(H11,StageConfig!$A$2:$B$5,2,FALSE),""))</f>
        <v>Earth Stage</v>
      </c>
      <c r="F11" s="7">
        <v>0.72222222222222221</v>
      </c>
      <c r="G11" s="20">
        <v>0.75</v>
      </c>
      <c r="H11" s="5" t="s">
        <v>7</v>
      </c>
    </row>
    <row r="12" spans="1:8" x14ac:dyDescent="0.25">
      <c r="A12" s="5">
        <f>IF(B12="","",MAX($A$1:A11)+1)</f>
        <v>11</v>
      </c>
      <c r="B12" s="12" t="s">
        <v>16</v>
      </c>
      <c r="C12" s="19">
        <v>46313</v>
      </c>
      <c r="D12" s="5" t="str">
        <f t="shared" si="0"/>
        <v>อาทิตย์</v>
      </c>
      <c r="E12" s="5" t="str">
        <f>IF(H12="","",IFERROR(VLOOKUP(H12,StageConfig!$A$2:$B$5,2,FALSE),""))</f>
        <v>Earth Stage</v>
      </c>
      <c r="F12" s="7">
        <v>0.76041666666666663</v>
      </c>
      <c r="G12" s="7">
        <v>0.78819444444444453</v>
      </c>
      <c r="H12" s="5" t="s">
        <v>7</v>
      </c>
    </row>
    <row r="13" spans="1:8" x14ac:dyDescent="0.25">
      <c r="A13" s="5">
        <f>IF(B13="","",MAX($A$1:A12)+1)</f>
        <v>12</v>
      </c>
      <c r="B13" s="12" t="s">
        <v>13</v>
      </c>
      <c r="C13" s="19">
        <v>46313</v>
      </c>
      <c r="D13" s="5" t="str">
        <f t="shared" si="0"/>
        <v>อาทิตย์</v>
      </c>
      <c r="E13" s="5" t="str">
        <f>IF(H13="","",IFERROR(VLOOKUP(H13,StageConfig!$A$2:$B$5,2,FALSE),""))</f>
        <v>Earth Stage</v>
      </c>
      <c r="F13" s="7">
        <v>0.79861111111111116</v>
      </c>
      <c r="G13" s="7">
        <v>0.82638888888888884</v>
      </c>
      <c r="H13" s="5" t="s">
        <v>7</v>
      </c>
    </row>
    <row r="14" spans="1:8" x14ac:dyDescent="0.25">
      <c r="A14" s="5">
        <f>IF(B14="","",MAX($A$1:A13)+1)</f>
        <v>13</v>
      </c>
      <c r="B14" s="12" t="s">
        <v>17</v>
      </c>
      <c r="C14" s="19">
        <v>46313</v>
      </c>
      <c r="D14" s="5" t="str">
        <f t="shared" si="0"/>
        <v>อาทิตย์</v>
      </c>
      <c r="E14" s="5" t="str">
        <f>IF(H14="","",IFERROR(VLOOKUP(H14,StageConfig!$A$2:$B$5,2,FALSE),""))</f>
        <v>Earth Stage</v>
      </c>
      <c r="F14" s="7">
        <v>0.83680555555555547</v>
      </c>
      <c r="G14" s="7">
        <v>0.86458333333333337</v>
      </c>
      <c r="H14" s="5" t="s">
        <v>7</v>
      </c>
    </row>
    <row r="15" spans="1:8" x14ac:dyDescent="0.25">
      <c r="A15" s="6">
        <f>IF(B15="","",MAX($A$1:A14)+1)</f>
        <v>14</v>
      </c>
      <c r="B15" s="12" t="s">
        <v>63</v>
      </c>
      <c r="C15" s="19">
        <v>46313</v>
      </c>
      <c r="D15" s="5" t="str">
        <f t="shared" si="0"/>
        <v>อาทิตย์</v>
      </c>
      <c r="E15" s="5" t="str">
        <f>IF(H15="","",IFERROR(VLOOKUP(H15,StageConfig!$A$2:$B$5,2,FALSE),""))</f>
        <v>Earth Stage</v>
      </c>
      <c r="F15" s="7">
        <v>0.875</v>
      </c>
      <c r="G15" s="7">
        <v>0.90277777777777779</v>
      </c>
      <c r="H15" s="7" t="s">
        <v>7</v>
      </c>
    </row>
    <row r="16" spans="1:8" x14ac:dyDescent="0.25">
      <c r="A16" s="6">
        <f>IF(B16="","",MAX($A$1:A15)+1)</f>
        <v>15</v>
      </c>
      <c r="B16" s="12" t="s">
        <v>49</v>
      </c>
      <c r="C16" s="19">
        <v>46311</v>
      </c>
      <c r="D16" s="5" t="str">
        <f t="shared" si="0"/>
        <v>ศุกร์</v>
      </c>
      <c r="E16" s="5" t="str">
        <f>IF(H16="","",IFERROR(VLOOKUP(H16,StageConfig!$A$2:$B$5,2,FALSE),""))</f>
        <v>Sun Stage</v>
      </c>
      <c r="F16" s="7">
        <v>0.625</v>
      </c>
      <c r="G16" s="7">
        <v>0.64583333333333337</v>
      </c>
      <c r="H16" s="7" t="s">
        <v>8</v>
      </c>
    </row>
    <row r="17" spans="1:8" x14ac:dyDescent="0.25">
      <c r="A17" s="6">
        <f>IF(B17="","",MAX($A$1:A16)+1)</f>
        <v>16</v>
      </c>
      <c r="B17" s="12" t="s">
        <v>64</v>
      </c>
      <c r="C17" s="19">
        <v>46311</v>
      </c>
      <c r="D17" s="5" t="str">
        <f t="shared" si="0"/>
        <v>ศุกร์</v>
      </c>
      <c r="E17" s="5" t="str">
        <f>IF(H17="","",IFERROR(VLOOKUP(H17,StageConfig!$A$2:$B$5,2,FALSE),""))</f>
        <v>Sun Stage</v>
      </c>
      <c r="F17" s="7">
        <v>0.65625</v>
      </c>
      <c r="G17" s="7">
        <v>0.67708333333333337</v>
      </c>
      <c r="H17" s="7" t="s">
        <v>8</v>
      </c>
    </row>
    <row r="18" spans="1:8" x14ac:dyDescent="0.25">
      <c r="A18" s="6">
        <f>IF(B18="","",MAX($A$1:A17)+1)</f>
        <v>17</v>
      </c>
      <c r="B18" s="12" t="s">
        <v>65</v>
      </c>
      <c r="C18" s="19">
        <v>46311</v>
      </c>
      <c r="D18" s="5" t="str">
        <f t="shared" si="0"/>
        <v>ศุกร์</v>
      </c>
      <c r="E18" s="5" t="str">
        <f>IF(H18="","",IFERROR(VLOOKUP(H18,StageConfig!$A$2:$B$5,2,FALSE),""))</f>
        <v>Sun Stage</v>
      </c>
      <c r="F18" s="7">
        <v>0.6875</v>
      </c>
      <c r="G18" s="7">
        <v>0.70833333333333337</v>
      </c>
      <c r="H18" s="7" t="s">
        <v>8</v>
      </c>
    </row>
    <row r="19" spans="1:8" x14ac:dyDescent="0.25">
      <c r="A19" s="6">
        <f>IF(B19="","",MAX($A$1:A18)+1)</f>
        <v>18</v>
      </c>
      <c r="B19" s="13" t="s">
        <v>66</v>
      </c>
      <c r="C19" s="19">
        <v>46311</v>
      </c>
      <c r="D19" s="5" t="str">
        <f t="shared" si="0"/>
        <v>ศุกร์</v>
      </c>
      <c r="E19" s="5" t="str">
        <f>IF(H19="","",IFERROR(VLOOKUP(H19,StageConfig!$A$2:$B$5,2,FALSE),""))</f>
        <v>Sun Stage</v>
      </c>
      <c r="F19" s="7">
        <v>0.71875</v>
      </c>
      <c r="G19" s="7">
        <v>0.73958333333333337</v>
      </c>
      <c r="H19" s="7" t="s">
        <v>8</v>
      </c>
    </row>
    <row r="20" spans="1:8" x14ac:dyDescent="0.25">
      <c r="A20" s="16">
        <f>IF(B20="","",MAX($A$1:A19)+1)</f>
        <v>19</v>
      </c>
      <c r="B20" s="15" t="s">
        <v>50</v>
      </c>
      <c r="C20" s="21">
        <v>46311</v>
      </c>
      <c r="D20" s="16" t="str">
        <f t="shared" ref="D20:D51" si="1">IF(C20="","",CHOOSE(WEEKDAY(C20,2),"จันทร์","อังคาร","พุธ","พฤหัสบดี","ศุกร์","เสาร์","อาทิตย์"))</f>
        <v>ศุกร์</v>
      </c>
      <c r="E20" s="16" t="str">
        <f>IF(H20="","",IFERROR(VLOOKUP(H20,StageConfig!$A$2:$B$5,2,FALSE),""))</f>
        <v>Sun Stage</v>
      </c>
      <c r="F20" s="17">
        <v>0.75</v>
      </c>
      <c r="G20" s="17">
        <v>0.77083333333333337</v>
      </c>
      <c r="H20" s="17" t="s">
        <v>8</v>
      </c>
    </row>
    <row r="21" spans="1:8" x14ac:dyDescent="0.25">
      <c r="A21" s="16">
        <f>IF(B21="","",MAX($A$1:A20)+1)</f>
        <v>20</v>
      </c>
      <c r="B21" s="15" t="s">
        <v>67</v>
      </c>
      <c r="C21" s="21">
        <v>46311</v>
      </c>
      <c r="D21" s="16" t="str">
        <f t="shared" si="1"/>
        <v>ศุกร์</v>
      </c>
      <c r="E21" s="16" t="str">
        <f>IF(H21="","",IFERROR(VLOOKUP(H21,StageConfig!$A$2:$B$5,2,FALSE),""))</f>
        <v>Sun Stage</v>
      </c>
      <c r="F21" s="17">
        <v>0.78125</v>
      </c>
      <c r="G21" s="17">
        <v>0.80208333333333337</v>
      </c>
      <c r="H21" s="17" t="s">
        <v>8</v>
      </c>
    </row>
    <row r="22" spans="1:8" x14ac:dyDescent="0.25">
      <c r="A22" s="16">
        <f>IF(B22="","",MAX($A$1:A21)+1)</f>
        <v>21</v>
      </c>
      <c r="B22" s="15" t="s">
        <v>35</v>
      </c>
      <c r="C22" s="21">
        <v>46311</v>
      </c>
      <c r="D22" s="16" t="str">
        <f t="shared" si="1"/>
        <v>ศุกร์</v>
      </c>
      <c r="E22" s="16" t="str">
        <f>IF(H22="","",IFERROR(VLOOKUP(H22,StageConfig!$A$2:$B$5,2,FALSE),""))</f>
        <v>Sun Stage</v>
      </c>
      <c r="F22" s="17">
        <v>0.8125</v>
      </c>
      <c r="G22" s="17">
        <v>0.83333333333333337</v>
      </c>
      <c r="H22" s="17" t="s">
        <v>8</v>
      </c>
    </row>
    <row r="23" spans="1:8" x14ac:dyDescent="0.25">
      <c r="A23" s="16">
        <f>IF(B23="","",MAX($A$1:A22)+1)</f>
        <v>22</v>
      </c>
      <c r="B23" s="15" t="s">
        <v>68</v>
      </c>
      <c r="C23" s="21">
        <v>46311</v>
      </c>
      <c r="D23" s="16" t="str">
        <f t="shared" si="1"/>
        <v>ศุกร์</v>
      </c>
      <c r="E23" s="16" t="str">
        <f>IF(H23="","",IFERROR(VLOOKUP(H23,StageConfig!$A$2:$B$5,2,FALSE),""))</f>
        <v>Sun Stage</v>
      </c>
      <c r="F23" s="17">
        <v>0.84375</v>
      </c>
      <c r="G23" s="17">
        <v>0.86458333333333337</v>
      </c>
      <c r="H23" s="17" t="s">
        <v>8</v>
      </c>
    </row>
    <row r="24" spans="1:8" ht="39.6" x14ac:dyDescent="0.25">
      <c r="A24" s="16">
        <f>IF(B24="","",MAX($A$1:A23)+1)</f>
        <v>23</v>
      </c>
      <c r="B24" s="15" t="s">
        <v>69</v>
      </c>
      <c r="C24" s="21">
        <v>46311</v>
      </c>
      <c r="D24" s="16" t="str">
        <f t="shared" si="1"/>
        <v>ศุกร์</v>
      </c>
      <c r="E24" s="16" t="str">
        <f>IF(H24="","",IFERROR(VLOOKUP(H24,StageConfig!$A$2:$B$5,2,FALSE),""))</f>
        <v>Sun Stage</v>
      </c>
      <c r="F24" s="17">
        <v>0.875</v>
      </c>
      <c r="G24" s="17">
        <v>0.89583333333333337</v>
      </c>
      <c r="H24" s="17" t="s">
        <v>8</v>
      </c>
    </row>
    <row r="25" spans="1:8" x14ac:dyDescent="0.25">
      <c r="A25" s="16">
        <f>IF(B25="","",MAX($A$1:A24)+1)</f>
        <v>24</v>
      </c>
      <c r="B25" s="15" t="s">
        <v>70</v>
      </c>
      <c r="C25" s="21">
        <v>46312</v>
      </c>
      <c r="D25" s="16" t="str">
        <f t="shared" si="1"/>
        <v>เสาร์</v>
      </c>
      <c r="E25" s="16" t="str">
        <f>IF(H25="","",IFERROR(VLOOKUP(H25,StageConfig!$A$2:$B$5,2,FALSE),""))</f>
        <v>Sun Stage</v>
      </c>
      <c r="F25" s="17">
        <v>0.625</v>
      </c>
      <c r="G25" s="17">
        <v>0.64583333333333337</v>
      </c>
      <c r="H25" s="17" t="s">
        <v>8</v>
      </c>
    </row>
    <row r="26" spans="1:8" x14ac:dyDescent="0.25">
      <c r="A26" s="16">
        <f>IF(B26="","",MAX($A$1:A25)+1)</f>
        <v>25</v>
      </c>
      <c r="B26" s="15" t="s">
        <v>48</v>
      </c>
      <c r="C26" s="21">
        <v>46312</v>
      </c>
      <c r="D26" s="16" t="str">
        <f t="shared" si="1"/>
        <v>เสาร์</v>
      </c>
      <c r="E26" s="16" t="str">
        <f>IF(H26="","",IFERROR(VLOOKUP(H26,StageConfig!$A$2:$B$5,2,FALSE),""))</f>
        <v>Sun Stage</v>
      </c>
      <c r="F26" s="17">
        <v>0.65625</v>
      </c>
      <c r="G26" s="17">
        <v>0.67708333333333337</v>
      </c>
      <c r="H26" s="17" t="s">
        <v>8</v>
      </c>
    </row>
    <row r="27" spans="1:8" x14ac:dyDescent="0.25">
      <c r="A27" s="16">
        <f>IF(B27="","",MAX($A$1:A26)+1)</f>
        <v>26</v>
      </c>
      <c r="B27" s="15" t="s">
        <v>36</v>
      </c>
      <c r="C27" s="21">
        <v>46312</v>
      </c>
      <c r="D27" s="16" t="str">
        <f t="shared" si="1"/>
        <v>เสาร์</v>
      </c>
      <c r="E27" s="16" t="str">
        <f>IF(H27="","",IFERROR(VLOOKUP(H27,StageConfig!$A$2:$B$5,2,FALSE),""))</f>
        <v>Sun Stage</v>
      </c>
      <c r="F27" s="17">
        <v>0.6875</v>
      </c>
      <c r="G27" s="17">
        <v>0.70833333333333337</v>
      </c>
      <c r="H27" s="17" t="s">
        <v>8</v>
      </c>
    </row>
    <row r="28" spans="1:8" x14ac:dyDescent="0.25">
      <c r="A28" s="16">
        <f>IF(B28="","",MAX($A$1:A27)+1)</f>
        <v>27</v>
      </c>
      <c r="B28" s="15" t="s">
        <v>37</v>
      </c>
      <c r="C28" s="21">
        <v>46312</v>
      </c>
      <c r="D28" s="16" t="str">
        <f t="shared" si="1"/>
        <v>เสาร์</v>
      </c>
      <c r="E28" s="16" t="str">
        <f>IF(H28="","",IFERROR(VLOOKUP(H28,StageConfig!$A$2:$B$5,2,FALSE),""))</f>
        <v>Sun Stage</v>
      </c>
      <c r="F28" s="17">
        <v>0.71875</v>
      </c>
      <c r="G28" s="17">
        <v>0.73958333333333337</v>
      </c>
      <c r="H28" s="17" t="s">
        <v>8</v>
      </c>
    </row>
    <row r="29" spans="1:8" x14ac:dyDescent="0.25">
      <c r="A29" s="16">
        <f>IF(B29="","",MAX($A$1:A28)+1)</f>
        <v>28</v>
      </c>
      <c r="B29" s="15" t="s">
        <v>25</v>
      </c>
      <c r="C29" s="21">
        <v>46312</v>
      </c>
      <c r="D29" s="16" t="str">
        <f t="shared" si="1"/>
        <v>เสาร์</v>
      </c>
      <c r="E29" s="16" t="str">
        <f>IF(H29="","",IFERROR(VLOOKUP(H29,StageConfig!$A$2:$B$5,2,FALSE),""))</f>
        <v>Sun Stage</v>
      </c>
      <c r="F29" s="17">
        <v>0.75</v>
      </c>
      <c r="G29" s="17">
        <v>0.77083333333333337</v>
      </c>
      <c r="H29" s="17" t="s">
        <v>8</v>
      </c>
    </row>
    <row r="30" spans="1:8" x14ac:dyDescent="0.25">
      <c r="A30" s="16">
        <f>IF(B30="","",MAX($A$1:A29)+1)</f>
        <v>29</v>
      </c>
      <c r="B30" s="15" t="s">
        <v>32</v>
      </c>
      <c r="C30" s="21">
        <v>46312</v>
      </c>
      <c r="D30" s="16" t="str">
        <f t="shared" si="1"/>
        <v>เสาร์</v>
      </c>
      <c r="E30" s="16" t="str">
        <f>IF(H30="","",IFERROR(VLOOKUP(H30,StageConfig!$A$2:$B$5,2,FALSE),""))</f>
        <v>Sun Stage</v>
      </c>
      <c r="F30" s="17">
        <v>0.78125</v>
      </c>
      <c r="G30" s="17">
        <v>0.80208333333333337</v>
      </c>
      <c r="H30" s="17" t="s">
        <v>8</v>
      </c>
    </row>
    <row r="31" spans="1:8" x14ac:dyDescent="0.25">
      <c r="A31" s="16">
        <f>IF(B31="","",MAX($A$1:A30)+1)</f>
        <v>30</v>
      </c>
      <c r="B31" s="15" t="s">
        <v>33</v>
      </c>
      <c r="C31" s="21">
        <v>46312</v>
      </c>
      <c r="D31" s="16" t="str">
        <f t="shared" si="1"/>
        <v>เสาร์</v>
      </c>
      <c r="E31" s="16" t="str">
        <f>IF(H31="","",IFERROR(VLOOKUP(H31,StageConfig!$A$2:$B$5,2,FALSE),""))</f>
        <v>Sun Stage</v>
      </c>
      <c r="F31" s="17">
        <v>0.8125</v>
      </c>
      <c r="G31" s="17">
        <v>0.83333333333333337</v>
      </c>
      <c r="H31" s="17" t="s">
        <v>8</v>
      </c>
    </row>
    <row r="32" spans="1:8" x14ac:dyDescent="0.25">
      <c r="A32" s="16">
        <f>IF(B32="","",MAX($A$1:A31)+1)</f>
        <v>31</v>
      </c>
      <c r="B32" s="15" t="s">
        <v>71</v>
      </c>
      <c r="C32" s="21">
        <v>46312</v>
      </c>
      <c r="D32" s="16" t="str">
        <f t="shared" si="1"/>
        <v>เสาร์</v>
      </c>
      <c r="E32" s="16" t="str">
        <f>IF(H32="","",IFERROR(VLOOKUP(H32,StageConfig!$A$2:$B$5,2,FALSE),""))</f>
        <v>Sun Stage</v>
      </c>
      <c r="F32" s="17">
        <v>0.84375</v>
      </c>
      <c r="G32" s="17">
        <v>0.86458333333333337</v>
      </c>
      <c r="H32" s="17" t="s">
        <v>8</v>
      </c>
    </row>
    <row r="33" spans="1:8" x14ac:dyDescent="0.25">
      <c r="A33" s="16">
        <f>IF(B33="","",MAX($A$1:A32)+1)</f>
        <v>32</v>
      </c>
      <c r="B33" s="15" t="s">
        <v>72</v>
      </c>
      <c r="C33" s="21">
        <v>46312</v>
      </c>
      <c r="D33" s="16" t="str">
        <f t="shared" si="1"/>
        <v>เสาร์</v>
      </c>
      <c r="E33" s="16" t="str">
        <f>IF(H33="","",IFERROR(VLOOKUP(H33,StageConfig!$A$2:$B$5,2,FALSE),""))</f>
        <v>Sun Stage</v>
      </c>
      <c r="F33" s="17">
        <v>0.875</v>
      </c>
      <c r="G33" s="17">
        <v>0.89583333333333337</v>
      </c>
      <c r="H33" s="17" t="s">
        <v>8</v>
      </c>
    </row>
    <row r="34" spans="1:8" x14ac:dyDescent="0.25">
      <c r="A34" s="16">
        <f>IF(B34="","",MAX($A$1:A33)+1)</f>
        <v>33</v>
      </c>
      <c r="B34" s="15" t="s">
        <v>73</v>
      </c>
      <c r="C34" s="21">
        <v>46313</v>
      </c>
      <c r="D34" s="16" t="str">
        <f t="shared" si="1"/>
        <v>อาทิตย์</v>
      </c>
      <c r="E34" s="16" t="str">
        <f>IF(H34="","",IFERROR(VLOOKUP(H34,StageConfig!$A$2:$B$5,2,FALSE),""))</f>
        <v>Sun Stage</v>
      </c>
      <c r="F34" s="17">
        <v>0.625</v>
      </c>
      <c r="G34" s="17">
        <v>0.64583333333333337</v>
      </c>
      <c r="H34" s="17" t="s">
        <v>8</v>
      </c>
    </row>
    <row r="35" spans="1:8" x14ac:dyDescent="0.25">
      <c r="A35" s="16">
        <f>IF(B35="","",MAX($A$1:A34)+1)</f>
        <v>34</v>
      </c>
      <c r="B35" s="15" t="s">
        <v>74</v>
      </c>
      <c r="C35" s="21">
        <v>46313</v>
      </c>
      <c r="D35" s="16" t="str">
        <f t="shared" si="1"/>
        <v>อาทิตย์</v>
      </c>
      <c r="E35" s="16" t="str">
        <f>IF(H35="","",IFERROR(VLOOKUP(H35,StageConfig!$A$2:$B$5,2,FALSE),""))</f>
        <v>Sun Stage</v>
      </c>
      <c r="F35" s="17">
        <v>0.65625</v>
      </c>
      <c r="G35" s="17">
        <v>0.67708333333333337</v>
      </c>
      <c r="H35" s="17" t="s">
        <v>8</v>
      </c>
    </row>
    <row r="36" spans="1:8" x14ac:dyDescent="0.25">
      <c r="A36" s="16">
        <f>IF(B36="","",MAX($A$1:A35)+1)</f>
        <v>35</v>
      </c>
      <c r="B36" s="15" t="s">
        <v>24</v>
      </c>
      <c r="C36" s="21">
        <v>46313</v>
      </c>
      <c r="D36" s="16" t="str">
        <f t="shared" si="1"/>
        <v>อาทิตย์</v>
      </c>
      <c r="E36" s="16" t="str">
        <f>IF(H36="","",IFERROR(VLOOKUP(H36,StageConfig!$A$2:$B$5,2,FALSE),""))</f>
        <v>Sun Stage</v>
      </c>
      <c r="F36" s="17">
        <v>0.6875</v>
      </c>
      <c r="G36" s="17">
        <v>0.70833333333333337</v>
      </c>
      <c r="H36" s="17" t="s">
        <v>8</v>
      </c>
    </row>
    <row r="37" spans="1:8" x14ac:dyDescent="0.25">
      <c r="A37" s="16">
        <f>IF(B37="","",MAX($A$1:A36)+1)</f>
        <v>36</v>
      </c>
      <c r="B37" s="15" t="s">
        <v>75</v>
      </c>
      <c r="C37" s="21">
        <v>46313</v>
      </c>
      <c r="D37" s="16" t="str">
        <f t="shared" si="1"/>
        <v>อาทิตย์</v>
      </c>
      <c r="E37" s="16" t="str">
        <f>IF(H37="","",IFERROR(VLOOKUP(H37,StageConfig!$A$2:$B$5,2,FALSE),""))</f>
        <v>Sun Stage</v>
      </c>
      <c r="F37" s="17">
        <v>0.71875</v>
      </c>
      <c r="G37" s="17">
        <v>0.73958333333333337</v>
      </c>
      <c r="H37" s="17" t="s">
        <v>8</v>
      </c>
    </row>
    <row r="38" spans="1:8" x14ac:dyDescent="0.25">
      <c r="A38" s="16">
        <f>IF(B38="","",MAX($A$1:A37)+1)</f>
        <v>37</v>
      </c>
      <c r="B38" s="15" t="s">
        <v>28</v>
      </c>
      <c r="C38" s="21">
        <v>46313</v>
      </c>
      <c r="D38" s="16" t="str">
        <f t="shared" si="1"/>
        <v>อาทิตย์</v>
      </c>
      <c r="E38" s="16" t="str">
        <f>IF(H38="","",IFERROR(VLOOKUP(H38,StageConfig!$A$2:$B$5,2,FALSE),""))</f>
        <v>Sun Stage</v>
      </c>
      <c r="F38" s="17">
        <v>0.75</v>
      </c>
      <c r="G38" s="17">
        <v>0.77083333333333337</v>
      </c>
      <c r="H38" s="17" t="s">
        <v>8</v>
      </c>
    </row>
    <row r="39" spans="1:8" x14ac:dyDescent="0.25">
      <c r="A39" s="16">
        <f>IF(B39="","",MAX($A$1:A38)+1)</f>
        <v>38</v>
      </c>
      <c r="B39" s="15" t="s">
        <v>29</v>
      </c>
      <c r="C39" s="21">
        <v>46313</v>
      </c>
      <c r="D39" s="16" t="str">
        <f t="shared" si="1"/>
        <v>อาทิตย์</v>
      </c>
      <c r="E39" s="16" t="str">
        <f>IF(H39="","",IFERROR(VLOOKUP(H39,StageConfig!$A$2:$B$5,2,FALSE),""))</f>
        <v>Sun Stage</v>
      </c>
      <c r="F39" s="17">
        <v>0.78125</v>
      </c>
      <c r="G39" s="17">
        <v>0.80208333333333337</v>
      </c>
      <c r="H39" s="17" t="s">
        <v>8</v>
      </c>
    </row>
    <row r="40" spans="1:8" x14ac:dyDescent="0.25">
      <c r="A40" s="16">
        <f>IF(B40="","",MAX($A$1:A39)+1)</f>
        <v>39</v>
      </c>
      <c r="B40" s="15" t="s">
        <v>30</v>
      </c>
      <c r="C40" s="21">
        <v>46313</v>
      </c>
      <c r="D40" s="16" t="str">
        <f t="shared" si="1"/>
        <v>อาทิตย์</v>
      </c>
      <c r="E40" s="16" t="str">
        <f>IF(H40="","",IFERROR(VLOOKUP(H40,StageConfig!$A$2:$B$5,2,FALSE),""))</f>
        <v>Sun Stage</v>
      </c>
      <c r="F40" s="17">
        <v>0.8125</v>
      </c>
      <c r="G40" s="17">
        <v>0.83333333333333337</v>
      </c>
      <c r="H40" s="17" t="s">
        <v>8</v>
      </c>
    </row>
    <row r="41" spans="1:8" x14ac:dyDescent="0.25">
      <c r="A41" s="16">
        <f>IF(B41="","",MAX($A$1:A40)+1)</f>
        <v>40</v>
      </c>
      <c r="B41" s="15" t="s">
        <v>23</v>
      </c>
      <c r="C41" s="21">
        <v>46313</v>
      </c>
      <c r="D41" s="16" t="str">
        <f t="shared" si="1"/>
        <v>อาทิตย์</v>
      </c>
      <c r="E41" s="16" t="str">
        <f>IF(H41="","",IFERROR(VLOOKUP(H41,StageConfig!$A$2:$B$5,2,FALSE),""))</f>
        <v>Sun Stage</v>
      </c>
      <c r="F41" s="17">
        <v>0.84375</v>
      </c>
      <c r="G41" s="17">
        <v>0.86458333333333337</v>
      </c>
      <c r="H41" s="17" t="s">
        <v>8</v>
      </c>
    </row>
    <row r="42" spans="1:8" x14ac:dyDescent="0.25">
      <c r="A42" s="16">
        <f>IF(B42="","",MAX($A$1:A41)+1)</f>
        <v>41</v>
      </c>
      <c r="B42" s="15" t="s">
        <v>76</v>
      </c>
      <c r="C42" s="21">
        <v>46313</v>
      </c>
      <c r="D42" s="16" t="str">
        <f t="shared" si="1"/>
        <v>อาทิตย์</v>
      </c>
      <c r="E42" s="16" t="str">
        <f>IF(H42="","",IFERROR(VLOOKUP(H42,StageConfig!$A$2:$B$5,2,FALSE),""))</f>
        <v>Sun Stage</v>
      </c>
      <c r="F42" s="17">
        <v>0.875</v>
      </c>
      <c r="G42" s="17">
        <v>0.89583333333333337</v>
      </c>
      <c r="H42" s="17" t="s">
        <v>8</v>
      </c>
    </row>
    <row r="43" spans="1:8" ht="39.6" x14ac:dyDescent="0.25">
      <c r="A43" s="16">
        <f>IF(B43="","",MAX($A$1:A42)+1)</f>
        <v>42</v>
      </c>
      <c r="B43" s="15" t="s">
        <v>77</v>
      </c>
      <c r="C43" s="21">
        <v>46311</v>
      </c>
      <c r="D43" s="16" t="str">
        <f t="shared" si="1"/>
        <v>ศุกร์</v>
      </c>
      <c r="E43" s="16" t="str">
        <f>IF(H43="","",IFERROR(VLOOKUP(H43,StageConfig!$A$2:$B$5,2,FALSE),""))</f>
        <v>Wave Stage</v>
      </c>
      <c r="F43" s="17">
        <v>0.5</v>
      </c>
      <c r="G43" s="17">
        <v>0.60416666666666663</v>
      </c>
      <c r="H43" s="17" t="s">
        <v>9</v>
      </c>
    </row>
    <row r="44" spans="1:8" x14ac:dyDescent="0.25">
      <c r="A44" s="16">
        <f>IF(B44="","",MAX($A$1:A43)+1)</f>
        <v>43</v>
      </c>
      <c r="B44" s="15" t="s">
        <v>51</v>
      </c>
      <c r="C44" s="21">
        <v>46311</v>
      </c>
      <c r="D44" s="16" t="str">
        <f t="shared" si="1"/>
        <v>ศุกร์</v>
      </c>
      <c r="E44" s="16" t="str">
        <f>IF(H44="","",IFERROR(VLOOKUP(H44,StageConfig!$A$2:$B$5,2,FALSE),""))</f>
        <v>Wave Stage</v>
      </c>
      <c r="F44" s="17">
        <v>0.61458333333333337</v>
      </c>
      <c r="G44" s="17">
        <v>0.62847222222222221</v>
      </c>
      <c r="H44" s="17" t="s">
        <v>9</v>
      </c>
    </row>
    <row r="45" spans="1:8" ht="39.6" x14ac:dyDescent="0.25">
      <c r="A45" s="16">
        <f>IF(B45="","",MAX($A$1:A44)+1)</f>
        <v>44</v>
      </c>
      <c r="B45" s="15" t="s">
        <v>78</v>
      </c>
      <c r="C45" s="21">
        <v>46311</v>
      </c>
      <c r="D45" s="16" t="str">
        <f t="shared" si="1"/>
        <v>ศุกร์</v>
      </c>
      <c r="E45" s="16" t="str">
        <f>IF(H45="","",IFERROR(VLOOKUP(H45,StageConfig!$A$2:$B$5,2,FALSE),""))</f>
        <v>Wave Stage</v>
      </c>
      <c r="F45" s="17">
        <v>0.63541666666666663</v>
      </c>
      <c r="G45" s="17">
        <v>0.70138888888888884</v>
      </c>
      <c r="H45" s="17" t="s">
        <v>9</v>
      </c>
    </row>
    <row r="46" spans="1:8" x14ac:dyDescent="0.25">
      <c r="A46" s="16">
        <f>IF(B46="","",MAX($A$1:A45)+1)</f>
        <v>45</v>
      </c>
      <c r="B46" s="15" t="s">
        <v>56</v>
      </c>
      <c r="C46" s="21">
        <v>46311</v>
      </c>
      <c r="D46" s="16" t="str">
        <f t="shared" si="1"/>
        <v>ศุกร์</v>
      </c>
      <c r="E46" s="16" t="str">
        <f>IF(H46="","",IFERROR(VLOOKUP(H46,StageConfig!$A$2:$B$5,2,FALSE),""))</f>
        <v>Wave Stage</v>
      </c>
      <c r="F46" s="17">
        <v>0.72222222222222221</v>
      </c>
      <c r="G46" s="17">
        <v>0.74305555555555547</v>
      </c>
      <c r="H46" s="17" t="s">
        <v>9</v>
      </c>
    </row>
    <row r="47" spans="1:8" x14ac:dyDescent="0.25">
      <c r="A47" s="16">
        <f>IF(B47="","",MAX($A$1:A46)+1)</f>
        <v>46</v>
      </c>
      <c r="B47" s="15" t="s">
        <v>38</v>
      </c>
      <c r="C47" s="21">
        <v>46311</v>
      </c>
      <c r="D47" s="16" t="str">
        <f t="shared" si="1"/>
        <v>ศุกร์</v>
      </c>
      <c r="E47" s="16" t="str">
        <f>IF(H47="","",IFERROR(VLOOKUP(H47,StageConfig!$A$2:$B$5,2,FALSE),""))</f>
        <v>Wave Stage</v>
      </c>
      <c r="F47" s="17">
        <v>0.75347222222222221</v>
      </c>
      <c r="G47" s="17">
        <v>0.78125</v>
      </c>
      <c r="H47" s="17" t="s">
        <v>9</v>
      </c>
    </row>
    <row r="48" spans="1:8" x14ac:dyDescent="0.25">
      <c r="A48" s="16">
        <f>IF(B48="","",MAX($A$1:A47)+1)</f>
        <v>47</v>
      </c>
      <c r="B48" s="15" t="s">
        <v>41</v>
      </c>
      <c r="C48" s="21">
        <v>46312</v>
      </c>
      <c r="D48" s="16" t="str">
        <f t="shared" si="1"/>
        <v>เสาร์</v>
      </c>
      <c r="E48" s="16" t="str">
        <f>IF(H48="","",IFERROR(VLOOKUP(H48,StageConfig!$A$2:$B$5,2,FALSE),""))</f>
        <v>Wave Stage</v>
      </c>
      <c r="F48" s="17">
        <v>0.54166666666666663</v>
      </c>
      <c r="G48" s="17">
        <v>0.5625</v>
      </c>
      <c r="H48" s="17" t="s">
        <v>9</v>
      </c>
    </row>
    <row r="49" spans="1:8" x14ac:dyDescent="0.25">
      <c r="A49" s="16">
        <f>IF(B49="","",MAX($A$1:A48)+1)</f>
        <v>48</v>
      </c>
      <c r="B49" s="15" t="s">
        <v>79</v>
      </c>
      <c r="C49" s="21">
        <v>46312</v>
      </c>
      <c r="D49" s="16" t="str">
        <f t="shared" si="1"/>
        <v>เสาร์</v>
      </c>
      <c r="E49" s="16" t="str">
        <f>IF(H49="","",IFERROR(VLOOKUP(H49,StageConfig!$A$2:$B$5,2,FALSE),""))</f>
        <v>Wave Stage</v>
      </c>
      <c r="F49" s="17">
        <v>0.57291666666666663</v>
      </c>
      <c r="G49" s="17">
        <v>0.59375</v>
      </c>
      <c r="H49" s="17" t="s">
        <v>9</v>
      </c>
    </row>
    <row r="50" spans="1:8" x14ac:dyDescent="0.25">
      <c r="A50" s="16">
        <f>IF(B50="","",MAX($A$1:A49)+1)</f>
        <v>49</v>
      </c>
      <c r="B50" s="15" t="s">
        <v>80</v>
      </c>
      <c r="C50" s="21">
        <v>46312</v>
      </c>
      <c r="D50" s="16" t="str">
        <f t="shared" si="1"/>
        <v>เสาร์</v>
      </c>
      <c r="E50" s="16" t="str">
        <f>IF(H50="","",IFERROR(VLOOKUP(H50,StageConfig!$A$2:$B$5,2,FALSE),""))</f>
        <v>Wave Stage</v>
      </c>
      <c r="F50" s="17">
        <v>0.60416666666666663</v>
      </c>
      <c r="G50" s="17">
        <v>0.625</v>
      </c>
      <c r="H50" s="17" t="s">
        <v>9</v>
      </c>
    </row>
    <row r="51" spans="1:8" x14ac:dyDescent="0.25">
      <c r="A51" s="16">
        <f>IF(B51="","",MAX($A$1:A50)+1)</f>
        <v>50</v>
      </c>
      <c r="B51" s="15" t="s">
        <v>81</v>
      </c>
      <c r="C51" s="21">
        <v>46312</v>
      </c>
      <c r="D51" s="16" t="str">
        <f t="shared" si="1"/>
        <v>เสาร์</v>
      </c>
      <c r="E51" s="16" t="str">
        <f>IF(H51="","",IFERROR(VLOOKUP(H51,StageConfig!$A$2:$B$5,2,FALSE),""))</f>
        <v>Wave Stage</v>
      </c>
      <c r="F51" s="17">
        <v>0.63541666666666663</v>
      </c>
      <c r="G51" s="17">
        <v>0.65625</v>
      </c>
      <c r="H51" s="17" t="s">
        <v>9</v>
      </c>
    </row>
    <row r="52" spans="1:8" x14ac:dyDescent="0.25">
      <c r="A52" s="16">
        <f>IF(B52="","",MAX($A$1:A51)+1)</f>
        <v>51</v>
      </c>
      <c r="B52" s="15" t="s">
        <v>82</v>
      </c>
      <c r="C52" s="21">
        <v>46312</v>
      </c>
      <c r="D52" s="16" t="str">
        <f t="shared" ref="D52:D71" si="2">IF(C52="","",CHOOSE(WEEKDAY(C52,2),"จันทร์","อังคาร","พุธ","พฤหัสบดี","ศุกร์","เสาร์","อาทิตย์"))</f>
        <v>เสาร์</v>
      </c>
      <c r="E52" s="16" t="str">
        <f>IF(H52="","",IFERROR(VLOOKUP(H52,StageConfig!$A$2:$B$5,2,FALSE),""))</f>
        <v>Wave Stage</v>
      </c>
      <c r="F52" s="17">
        <v>0.66666666666666663</v>
      </c>
      <c r="G52" s="17">
        <v>0.6875</v>
      </c>
      <c r="H52" s="17" t="s">
        <v>9</v>
      </c>
    </row>
    <row r="53" spans="1:8" x14ac:dyDescent="0.25">
      <c r="A53" s="16">
        <f>IF(B53="","",MAX($A$1:A52)+1)</f>
        <v>52</v>
      </c>
      <c r="B53" s="15" t="s">
        <v>83</v>
      </c>
      <c r="C53" s="21">
        <v>46312</v>
      </c>
      <c r="D53" s="16" t="str">
        <f t="shared" si="2"/>
        <v>เสาร์</v>
      </c>
      <c r="E53" s="16" t="str">
        <f>IF(H53="","",IFERROR(VLOOKUP(H53,StageConfig!$A$2:$B$5,2,FALSE),""))</f>
        <v>Wave Stage</v>
      </c>
      <c r="F53" s="17">
        <v>0.69791666666666663</v>
      </c>
      <c r="G53" s="17">
        <v>0.71875</v>
      </c>
      <c r="H53" s="17" t="s">
        <v>9</v>
      </c>
    </row>
    <row r="54" spans="1:8" x14ac:dyDescent="0.25">
      <c r="A54" s="16">
        <f>IF(B54="","",MAX($A$1:A53)+1)</f>
        <v>53</v>
      </c>
      <c r="B54" s="15" t="s">
        <v>39</v>
      </c>
      <c r="C54" s="21">
        <v>46312</v>
      </c>
      <c r="D54" s="16" t="str">
        <f t="shared" si="2"/>
        <v>เสาร์</v>
      </c>
      <c r="E54" s="16" t="str">
        <f>IF(H54="","",IFERROR(VLOOKUP(H54,StageConfig!$A$2:$B$5,2,FALSE),""))</f>
        <v>Wave Stage</v>
      </c>
      <c r="F54" s="17">
        <v>0.72916666666666663</v>
      </c>
      <c r="G54" s="17">
        <v>0.75</v>
      </c>
      <c r="H54" s="17" t="s">
        <v>9</v>
      </c>
    </row>
    <row r="55" spans="1:8" x14ac:dyDescent="0.25">
      <c r="A55" s="16">
        <f>IF(B55="","",MAX($A$1:A54)+1)</f>
        <v>54</v>
      </c>
      <c r="B55" s="15" t="s">
        <v>84</v>
      </c>
      <c r="C55" s="21">
        <v>46312</v>
      </c>
      <c r="D55" s="16" t="str">
        <f t="shared" si="2"/>
        <v>เสาร์</v>
      </c>
      <c r="E55" s="16" t="str">
        <f>IF(H55="","",IFERROR(VLOOKUP(H55,StageConfig!$A$2:$B$5,2,FALSE),""))</f>
        <v>Wave Stage</v>
      </c>
      <c r="F55" s="17">
        <v>0.76041666666666663</v>
      </c>
      <c r="G55" s="17">
        <v>0.78125</v>
      </c>
      <c r="H55" s="17" t="s">
        <v>9</v>
      </c>
    </row>
    <row r="56" spans="1:8" x14ac:dyDescent="0.25">
      <c r="A56" s="16">
        <f>IF(B56="","",MAX($A$1:A55)+1)</f>
        <v>55</v>
      </c>
      <c r="B56" s="15" t="s">
        <v>34</v>
      </c>
      <c r="C56" s="21">
        <v>46312</v>
      </c>
      <c r="D56" s="16" t="str">
        <f t="shared" si="2"/>
        <v>เสาร์</v>
      </c>
      <c r="E56" s="16" t="str">
        <f>IF(H56="","",IFERROR(VLOOKUP(H56,StageConfig!$A$2:$B$5,2,FALSE),""))</f>
        <v>Wave Stage</v>
      </c>
      <c r="F56" s="17">
        <v>0.79166666666666663</v>
      </c>
      <c r="G56" s="17">
        <v>0.8125</v>
      </c>
      <c r="H56" s="17" t="s">
        <v>9</v>
      </c>
    </row>
    <row r="57" spans="1:8" ht="39.6" x14ac:dyDescent="0.25">
      <c r="A57" s="16">
        <f>IF(B57="","",MAX($A$1:A56)+1)</f>
        <v>56</v>
      </c>
      <c r="B57" s="15" t="s">
        <v>85</v>
      </c>
      <c r="C57" s="21">
        <v>46312</v>
      </c>
      <c r="D57" s="16" t="str">
        <f t="shared" si="2"/>
        <v>เสาร์</v>
      </c>
      <c r="E57" s="16" t="str">
        <f>IF(H57="","",IFERROR(VLOOKUP(H57,StageConfig!$A$2:$B$5,2,FALSE),""))</f>
        <v>Wave Stage</v>
      </c>
      <c r="F57" s="17">
        <v>0.82291666666666663</v>
      </c>
      <c r="G57" s="17">
        <v>0.84375</v>
      </c>
      <c r="H57" s="17" t="s">
        <v>9</v>
      </c>
    </row>
    <row r="58" spans="1:8" x14ac:dyDescent="0.25">
      <c r="A58" s="16">
        <f>IF(B58="","",MAX($A$1:A57)+1)</f>
        <v>57</v>
      </c>
      <c r="B58" s="15" t="s">
        <v>86</v>
      </c>
      <c r="C58" s="21">
        <v>46313</v>
      </c>
      <c r="D58" s="16" t="str">
        <f t="shared" si="2"/>
        <v>อาทิตย์</v>
      </c>
      <c r="E58" s="16" t="str">
        <f>IF(H58="","",IFERROR(VLOOKUP(H58,StageConfig!$A$2:$B$5,2,FALSE),""))</f>
        <v>Wave Stage</v>
      </c>
      <c r="F58" s="17">
        <v>0.54166666666666663</v>
      </c>
      <c r="G58" s="17">
        <v>0.5625</v>
      </c>
      <c r="H58" s="17" t="s">
        <v>9</v>
      </c>
    </row>
    <row r="59" spans="1:8" x14ac:dyDescent="0.25">
      <c r="A59" s="16">
        <f>IF(B59="","",MAX($A$1:A58)+1)</f>
        <v>58</v>
      </c>
      <c r="B59" s="15" t="s">
        <v>87</v>
      </c>
      <c r="C59" s="21">
        <v>46313</v>
      </c>
      <c r="D59" s="16" t="str">
        <f t="shared" si="2"/>
        <v>อาทิตย์</v>
      </c>
      <c r="E59" s="16" t="str">
        <f>IF(H59="","",IFERROR(VLOOKUP(H59,StageConfig!$A$2:$B$5,2,FALSE),""))</f>
        <v>Wave Stage</v>
      </c>
      <c r="F59" s="17">
        <v>0.57291666666666663</v>
      </c>
      <c r="G59" s="17">
        <v>0.59375</v>
      </c>
      <c r="H59" s="17" t="s">
        <v>9</v>
      </c>
    </row>
    <row r="60" spans="1:8" x14ac:dyDescent="0.25">
      <c r="A60" s="16">
        <f>IF(B60="","",MAX($A$1:A59)+1)</f>
        <v>59</v>
      </c>
      <c r="B60" s="15" t="s">
        <v>52</v>
      </c>
      <c r="C60" s="21">
        <v>46313</v>
      </c>
      <c r="D60" s="16" t="str">
        <f t="shared" si="2"/>
        <v>อาทิตย์</v>
      </c>
      <c r="E60" s="16" t="str">
        <f>IF(H60="","",IFERROR(VLOOKUP(H60,StageConfig!$A$2:$B$5,2,FALSE),""))</f>
        <v>Wave Stage</v>
      </c>
      <c r="F60" s="17">
        <v>0.60416666666666663</v>
      </c>
      <c r="G60" s="17">
        <v>0.625</v>
      </c>
      <c r="H60" s="17" t="s">
        <v>9</v>
      </c>
    </row>
    <row r="61" spans="1:8" x14ac:dyDescent="0.25">
      <c r="A61" s="16">
        <f>IF(B61="","",MAX($A$1:A60)+1)</f>
        <v>60</v>
      </c>
      <c r="B61" s="15" t="s">
        <v>88</v>
      </c>
      <c r="C61" s="21">
        <v>46313</v>
      </c>
      <c r="D61" s="16" t="str">
        <f t="shared" si="2"/>
        <v>อาทิตย์</v>
      </c>
      <c r="E61" s="16" t="str">
        <f>IF(H61="","",IFERROR(VLOOKUP(H61,StageConfig!$A$2:$B$5,2,FALSE),""))</f>
        <v>Wave Stage</v>
      </c>
      <c r="F61" s="17">
        <v>0.63541666666666663</v>
      </c>
      <c r="G61" s="17">
        <v>0.65625</v>
      </c>
      <c r="H61" s="17" t="s">
        <v>9</v>
      </c>
    </row>
    <row r="62" spans="1:8" x14ac:dyDescent="0.25">
      <c r="A62" s="16">
        <f>IF(B62="","",MAX($A$1:A61)+1)</f>
        <v>61</v>
      </c>
      <c r="B62" s="15" t="s">
        <v>47</v>
      </c>
      <c r="C62" s="21">
        <v>46313</v>
      </c>
      <c r="D62" s="16" t="str">
        <f t="shared" si="2"/>
        <v>อาทิตย์</v>
      </c>
      <c r="E62" s="16" t="str">
        <f>IF(H62="","",IFERROR(VLOOKUP(H62,StageConfig!$A$2:$B$5,2,FALSE),""))</f>
        <v>Wave Stage</v>
      </c>
      <c r="F62" s="17">
        <v>0.66666666666666663</v>
      </c>
      <c r="G62" s="17">
        <v>0.6875</v>
      </c>
      <c r="H62" s="17" t="s">
        <v>9</v>
      </c>
    </row>
    <row r="63" spans="1:8" x14ac:dyDescent="0.25">
      <c r="A63" s="16">
        <f>IF(B63="","",MAX($A$1:A62)+1)</f>
        <v>62</v>
      </c>
      <c r="B63" s="15" t="s">
        <v>89</v>
      </c>
      <c r="C63" s="21">
        <v>46313</v>
      </c>
      <c r="D63" s="16" t="str">
        <f t="shared" si="2"/>
        <v>อาทิตย์</v>
      </c>
      <c r="E63" s="16" t="str">
        <f>IF(H63="","",IFERROR(VLOOKUP(H63,StageConfig!$A$2:$B$5,2,FALSE),""))</f>
        <v>Wave Stage</v>
      </c>
      <c r="F63" s="17">
        <v>0.69791666666666663</v>
      </c>
      <c r="G63" s="17">
        <v>0.71875</v>
      </c>
      <c r="H63" s="17" t="s">
        <v>9</v>
      </c>
    </row>
    <row r="64" spans="1:8" x14ac:dyDescent="0.25">
      <c r="A64" s="16">
        <f>IF(B64="","",MAX($A$1:A63)+1)</f>
        <v>63</v>
      </c>
      <c r="B64" s="15" t="s">
        <v>27</v>
      </c>
      <c r="C64" s="21">
        <v>46313</v>
      </c>
      <c r="D64" s="16" t="str">
        <f t="shared" si="2"/>
        <v>อาทิตย์</v>
      </c>
      <c r="E64" s="16" t="str">
        <f>IF(H64="","",IFERROR(VLOOKUP(H64,StageConfig!$A$2:$B$5,2,FALSE),""))</f>
        <v>Wave Stage</v>
      </c>
      <c r="F64" s="17">
        <v>0.72916666666666663</v>
      </c>
      <c r="G64" s="17">
        <v>0.75</v>
      </c>
      <c r="H64" s="17" t="s">
        <v>9</v>
      </c>
    </row>
    <row r="65" spans="1:8" x14ac:dyDescent="0.25">
      <c r="A65" s="16">
        <f>IF(B65="","",MAX($A$1:A64)+1)</f>
        <v>64</v>
      </c>
      <c r="B65" s="15" t="s">
        <v>90</v>
      </c>
      <c r="C65" s="21">
        <v>46313</v>
      </c>
      <c r="D65" s="16" t="str">
        <f t="shared" si="2"/>
        <v>อาทิตย์</v>
      </c>
      <c r="E65" s="16" t="str">
        <f>IF(H65="","",IFERROR(VLOOKUP(H65,StageConfig!$A$2:$B$5,2,FALSE),""))</f>
        <v>Wave Stage</v>
      </c>
      <c r="F65" s="17">
        <v>0.76041666666666663</v>
      </c>
      <c r="G65" s="17">
        <v>0.78125</v>
      </c>
      <c r="H65" s="17" t="s">
        <v>9</v>
      </c>
    </row>
    <row r="66" spans="1:8" x14ac:dyDescent="0.25">
      <c r="A66" s="16">
        <f>IF(B66="","",MAX($A$1:A65)+1)</f>
        <v>65</v>
      </c>
      <c r="B66" s="15" t="s">
        <v>26</v>
      </c>
      <c r="C66" s="21">
        <v>46313</v>
      </c>
      <c r="D66" s="16" t="str">
        <f t="shared" si="2"/>
        <v>อาทิตย์</v>
      </c>
      <c r="E66" s="16" t="str">
        <f>IF(H66="","",IFERROR(VLOOKUP(H66,StageConfig!$A$2:$B$5,2,FALSE),""))</f>
        <v>Wave Stage</v>
      </c>
      <c r="F66" s="17">
        <v>0.79166666666666663</v>
      </c>
      <c r="G66" s="17">
        <v>0.8125</v>
      </c>
      <c r="H66" s="17" t="s">
        <v>9</v>
      </c>
    </row>
    <row r="67" spans="1:8" x14ac:dyDescent="0.25">
      <c r="A67" s="16">
        <f>IF(B67="","",MAX($A$1:A66)+1)</f>
        <v>66</v>
      </c>
      <c r="B67" s="15" t="s">
        <v>18</v>
      </c>
      <c r="C67" s="21">
        <v>46313</v>
      </c>
      <c r="D67" s="16" t="str">
        <f t="shared" si="2"/>
        <v>อาทิตย์</v>
      </c>
      <c r="E67" s="16" t="str">
        <f>IF(H67="","",IFERROR(VLOOKUP(H67,StageConfig!$A$2:$B$5,2,FALSE),""))</f>
        <v>Wave Stage</v>
      </c>
      <c r="F67" s="17">
        <v>0.82291666666666663</v>
      </c>
      <c r="G67" s="17">
        <v>0.84375</v>
      </c>
      <c r="H67" s="17" t="s">
        <v>9</v>
      </c>
    </row>
    <row r="68" spans="1:8" x14ac:dyDescent="0.25">
      <c r="A68" s="16">
        <f>IF(B68="","",MAX($A$1:A67)+1)</f>
        <v>67</v>
      </c>
      <c r="B68" s="15" t="s">
        <v>91</v>
      </c>
      <c r="C68" s="21">
        <v>46312</v>
      </c>
      <c r="D68" s="16" t="str">
        <f t="shared" si="2"/>
        <v>เสาร์</v>
      </c>
      <c r="E68" s="16" t="str">
        <f>IF(H68="","",IFERROR(VLOOKUP(H68,StageConfig!$A$2:$B$5,2,FALSE),""))</f>
        <v>Wind Stage</v>
      </c>
      <c r="F68" s="17">
        <v>0.5</v>
      </c>
      <c r="G68" s="17">
        <v>0.52083333333333337</v>
      </c>
      <c r="H68" s="17" t="s">
        <v>10</v>
      </c>
    </row>
    <row r="69" spans="1:8" x14ac:dyDescent="0.25">
      <c r="A69" s="16">
        <f>IF(B69="","",MAX($A$1:A68)+1)</f>
        <v>68</v>
      </c>
      <c r="B69" s="15" t="s">
        <v>44</v>
      </c>
      <c r="C69" s="21">
        <v>46312</v>
      </c>
      <c r="D69" s="16" t="str">
        <f t="shared" si="2"/>
        <v>เสาร์</v>
      </c>
      <c r="E69" s="16" t="str">
        <f>IF(H69="","",IFERROR(VLOOKUP(H69,StageConfig!$A$2:$B$5,2,FALSE),""))</f>
        <v>Wind Stage</v>
      </c>
      <c r="F69" s="17">
        <v>0.52083333333333337</v>
      </c>
      <c r="G69" s="17">
        <v>0.54166666666666663</v>
      </c>
      <c r="H69" s="17" t="s">
        <v>10</v>
      </c>
    </row>
    <row r="70" spans="1:8" x14ac:dyDescent="0.25">
      <c r="A70" s="16">
        <f>IF(B70="","",MAX($A$1:A69)+1)</f>
        <v>69</v>
      </c>
      <c r="B70" s="15" t="s">
        <v>45</v>
      </c>
      <c r="C70" s="21">
        <v>46312</v>
      </c>
      <c r="D70" s="16" t="str">
        <f t="shared" si="2"/>
        <v>เสาร์</v>
      </c>
      <c r="E70" s="16" t="str">
        <f>IF(H70="","",IFERROR(VLOOKUP(H70,StageConfig!$A$2:$B$5,2,FALSE),""))</f>
        <v>Wind Stage</v>
      </c>
      <c r="F70" s="17">
        <v>0.55208333333333337</v>
      </c>
      <c r="G70" s="17">
        <v>0.57291666666666663</v>
      </c>
      <c r="H70" s="17" t="s">
        <v>10</v>
      </c>
    </row>
    <row r="71" spans="1:8" x14ac:dyDescent="0.25">
      <c r="A71" s="16">
        <f>IF(B71="","",MAX($A$1:A70)+1)</f>
        <v>70</v>
      </c>
      <c r="B71" s="15" t="s">
        <v>46</v>
      </c>
      <c r="C71" s="21">
        <v>46312</v>
      </c>
      <c r="D71" s="16" t="str">
        <f t="shared" si="2"/>
        <v>เสาร์</v>
      </c>
      <c r="E71" s="16" t="str">
        <f>IF(H71="","",IFERROR(VLOOKUP(H71,StageConfig!$A$2:$B$5,2,FALSE),""))</f>
        <v>Wind Stage</v>
      </c>
      <c r="F71" s="17">
        <v>0.58333333333333337</v>
      </c>
      <c r="G71" s="17">
        <v>0.60416666666666663</v>
      </c>
      <c r="H71" s="17" t="s">
        <v>10</v>
      </c>
    </row>
    <row r="72" spans="1:8" x14ac:dyDescent="0.25">
      <c r="A72" s="23">
        <f>IF(B72="","",MAX($A$1:A71)+1)</f>
        <v>71</v>
      </c>
      <c r="B72" s="14" t="s">
        <v>92</v>
      </c>
      <c r="C72" s="22">
        <v>46312</v>
      </c>
      <c r="D72" s="23" t="str">
        <f t="shared" ref="D72:D82" si="3">IF(C72="","",CHOOSE(WEEKDAY(C72,2),"จันทร์","อังคาร","พุธ","พฤหัสบดี","ศุกร์","เสาร์","อาทิตย์"))</f>
        <v>เสาร์</v>
      </c>
      <c r="E72" s="23" t="str">
        <f>IF(H72="","",IFERROR(VLOOKUP(H72,StageConfig!$A$2:$B$5,2,FALSE),""))</f>
        <v>Wind Stage</v>
      </c>
      <c r="F72" s="24">
        <v>0.61458333333333337</v>
      </c>
      <c r="G72" s="24">
        <v>0.63541666666666663</v>
      </c>
      <c r="H72" s="24" t="s">
        <v>10</v>
      </c>
    </row>
    <row r="73" spans="1:8" x14ac:dyDescent="0.25">
      <c r="A73" s="23">
        <f>IF(B73="","",MAX($A$1:A72)+1)</f>
        <v>72</v>
      </c>
      <c r="B73" s="14" t="s">
        <v>93</v>
      </c>
      <c r="C73" s="22">
        <v>46312</v>
      </c>
      <c r="D73" s="23" t="str">
        <f t="shared" si="3"/>
        <v>เสาร์</v>
      </c>
      <c r="E73" s="23" t="str">
        <f>IF(H73="","",IFERROR(VLOOKUP(H73,StageConfig!$A$2:$B$5,2,FALSE),""))</f>
        <v>Wind Stage</v>
      </c>
      <c r="F73" s="24">
        <v>0.64583333333333337</v>
      </c>
      <c r="G73" s="24">
        <v>0.66666666666666663</v>
      </c>
      <c r="H73" s="24" t="s">
        <v>10</v>
      </c>
    </row>
    <row r="74" spans="1:8" x14ac:dyDescent="0.25">
      <c r="A74" s="23">
        <f>IF(B74="","",MAX($A$1:A73)+1)</f>
        <v>73</v>
      </c>
      <c r="B74" s="14" t="s">
        <v>94</v>
      </c>
      <c r="C74" s="22">
        <v>46312</v>
      </c>
      <c r="D74" s="23" t="str">
        <f t="shared" si="3"/>
        <v>เสาร์</v>
      </c>
      <c r="E74" s="23" t="str">
        <f>IF(H74="","",IFERROR(VLOOKUP(H74,StageConfig!$A$2:$B$5,2,FALSE),""))</f>
        <v>Wind Stage</v>
      </c>
      <c r="F74" s="24">
        <v>0.67708333333333337</v>
      </c>
      <c r="G74" s="24">
        <v>0.69791666666666663</v>
      </c>
      <c r="H74" s="24" t="s">
        <v>10</v>
      </c>
    </row>
    <row r="75" spans="1:8" x14ac:dyDescent="0.25">
      <c r="A75" s="23">
        <f>IF(B75="","",MAX($A$1:A74)+1)</f>
        <v>74</v>
      </c>
      <c r="B75" s="14" t="s">
        <v>54</v>
      </c>
      <c r="C75" s="22">
        <v>46312</v>
      </c>
      <c r="D75" s="23" t="str">
        <f t="shared" si="3"/>
        <v>เสาร์</v>
      </c>
      <c r="E75" s="23" t="str">
        <f>IF(H75="","",IFERROR(VLOOKUP(H75,StageConfig!$A$2:$B$5,2,FALSE),""))</f>
        <v>Wind Stage</v>
      </c>
      <c r="F75" s="24">
        <v>0.70833333333333337</v>
      </c>
      <c r="G75" s="24">
        <v>0.72916666666666663</v>
      </c>
      <c r="H75" s="24" t="s">
        <v>10</v>
      </c>
    </row>
    <row r="76" spans="1:8" x14ac:dyDescent="0.25">
      <c r="A76" s="23">
        <f>IF(B76="","",MAX($A$1:A75)+1)</f>
        <v>75</v>
      </c>
      <c r="B76" s="14" t="s">
        <v>40</v>
      </c>
      <c r="C76" s="22">
        <v>46312</v>
      </c>
      <c r="D76" s="23" t="str">
        <f t="shared" si="3"/>
        <v>เสาร์</v>
      </c>
      <c r="E76" s="23" t="str">
        <f>IF(H76="","",IFERROR(VLOOKUP(H76,StageConfig!$A$2:$B$5,2,FALSE),""))</f>
        <v>Wind Stage</v>
      </c>
      <c r="F76" s="24">
        <v>0.73958333333333337</v>
      </c>
      <c r="G76" s="24">
        <v>0.76041666666666663</v>
      </c>
      <c r="H76" s="24" t="s">
        <v>10</v>
      </c>
    </row>
    <row r="77" spans="1:8" x14ac:dyDescent="0.25">
      <c r="A77" s="23">
        <f>IF(B77="","",MAX($A$1:A76)+1)</f>
        <v>76</v>
      </c>
      <c r="B77" s="14" t="s">
        <v>43</v>
      </c>
      <c r="C77" s="22">
        <v>46312</v>
      </c>
      <c r="D77" s="23" t="str">
        <f t="shared" si="3"/>
        <v>เสาร์</v>
      </c>
      <c r="E77" s="23" t="str">
        <f>IF(H77="","",IFERROR(VLOOKUP(H77,StageConfig!$A$2:$B$5,2,FALSE),""))</f>
        <v>Wind Stage</v>
      </c>
      <c r="F77" s="24">
        <v>0.77083333333333337</v>
      </c>
      <c r="G77" s="24">
        <v>0.79166666666666663</v>
      </c>
      <c r="H77" s="24" t="s">
        <v>10</v>
      </c>
    </row>
    <row r="78" spans="1:8" x14ac:dyDescent="0.25">
      <c r="A78" s="23">
        <f>IF(B78="","",MAX($A$1:A77)+1)</f>
        <v>77</v>
      </c>
      <c r="B78" s="14" t="s">
        <v>95</v>
      </c>
      <c r="C78" s="22">
        <v>46313</v>
      </c>
      <c r="D78" s="23" t="str">
        <f t="shared" si="3"/>
        <v>อาทิตย์</v>
      </c>
      <c r="E78" s="23" t="str">
        <f>IF(H78="","",IFERROR(VLOOKUP(H78,StageConfig!$A$2:$B$5,2,FALSE),""))</f>
        <v>Wind Stage</v>
      </c>
      <c r="F78" s="24">
        <v>0.52083333333333337</v>
      </c>
      <c r="G78" s="24">
        <v>0.54166666666666663</v>
      </c>
      <c r="H78" s="24" t="s">
        <v>10</v>
      </c>
    </row>
    <row r="79" spans="1:8" x14ac:dyDescent="0.25">
      <c r="A79" s="23">
        <f>IF(B79="","",MAX($A$1:A78)+1)</f>
        <v>78</v>
      </c>
      <c r="B79" s="14" t="s">
        <v>96</v>
      </c>
      <c r="C79" s="22">
        <v>46313</v>
      </c>
      <c r="D79" s="23" t="str">
        <f t="shared" si="3"/>
        <v>อาทิตย์</v>
      </c>
      <c r="E79" s="23" t="str">
        <f>IF(H79="","",IFERROR(VLOOKUP(H79,StageConfig!$A$2:$B$5,2,FALSE),""))</f>
        <v>Wind Stage</v>
      </c>
      <c r="F79" s="24">
        <v>0.55208333333333337</v>
      </c>
      <c r="G79" s="24">
        <v>0.57291666666666663</v>
      </c>
      <c r="H79" s="24" t="s">
        <v>10</v>
      </c>
    </row>
    <row r="80" spans="1:8" x14ac:dyDescent="0.25">
      <c r="A80" s="23">
        <f>IF(B80="","",MAX($A$1:A79)+1)</f>
        <v>79</v>
      </c>
      <c r="B80" s="14" t="s">
        <v>97</v>
      </c>
      <c r="C80" s="22">
        <v>46313</v>
      </c>
      <c r="D80" s="23" t="str">
        <f t="shared" si="3"/>
        <v>อาทิตย์</v>
      </c>
      <c r="E80" s="23" t="str">
        <f>IF(H80="","",IFERROR(VLOOKUP(H80,StageConfig!$A$2:$B$5,2,FALSE),""))</f>
        <v>Wind Stage</v>
      </c>
      <c r="F80" s="24">
        <v>0.58333333333333337</v>
      </c>
      <c r="G80" s="24">
        <v>0.60416666666666663</v>
      </c>
      <c r="H80" s="24" t="s">
        <v>10</v>
      </c>
    </row>
    <row r="81" spans="1:8" x14ac:dyDescent="0.25">
      <c r="A81" s="23">
        <f>IF(B81="","",MAX($A$1:A80)+1)</f>
        <v>80</v>
      </c>
      <c r="B81" s="14" t="s">
        <v>98</v>
      </c>
      <c r="C81" s="22">
        <v>46313</v>
      </c>
      <c r="D81" s="23" t="str">
        <f t="shared" si="3"/>
        <v>อาทิตย์</v>
      </c>
      <c r="E81" s="23" t="str">
        <f>IF(H81="","",IFERROR(VLOOKUP(H81,StageConfig!$A$2:$B$5,2,FALSE),""))</f>
        <v>Wind Stage</v>
      </c>
      <c r="F81" s="24">
        <v>0.61458333333333337</v>
      </c>
      <c r="G81" s="24">
        <v>0.63541666666666663</v>
      </c>
      <c r="H81" s="24" t="s">
        <v>10</v>
      </c>
    </row>
    <row r="82" spans="1:8" x14ac:dyDescent="0.25">
      <c r="A82" s="23">
        <f>IF(B82="","",MAX($A$1:A81)+1)</f>
        <v>81</v>
      </c>
      <c r="B82" s="14" t="s">
        <v>99</v>
      </c>
      <c r="C82" s="22">
        <v>46313</v>
      </c>
      <c r="D82" s="23" t="str">
        <f t="shared" si="3"/>
        <v>อาทิตย์</v>
      </c>
      <c r="E82" s="23" t="str">
        <f>IF(H82="","",IFERROR(VLOOKUP(H82,StageConfig!$A$2:$B$5,2,FALSE),""))</f>
        <v>Wind Stage</v>
      </c>
      <c r="F82" s="24">
        <v>0.64583333333333337</v>
      </c>
      <c r="G82" s="24">
        <v>0.66666666666666663</v>
      </c>
      <c r="H82" s="24" t="s">
        <v>10</v>
      </c>
    </row>
    <row r="83" spans="1:8" x14ac:dyDescent="0.25">
      <c r="A83" s="23">
        <f>IF(B83="","",MAX($A$1:A82)+1)</f>
        <v>82</v>
      </c>
      <c r="B83" s="14" t="s">
        <v>100</v>
      </c>
      <c r="C83" s="22">
        <v>46313</v>
      </c>
      <c r="D83" s="23" t="str">
        <f t="shared" ref="D83:D87" si="4">IF(C83="","",CHOOSE(WEEKDAY(C83,2),"จันทร์","อังคาร","พุธ","พฤหัสบดี","ศุกร์","เสาร์","อาทิตย์"))</f>
        <v>อาทิตย์</v>
      </c>
      <c r="E83" s="23" t="str">
        <f>IF(H83="","",IFERROR(VLOOKUP(H83,StageConfig!$A$2:$B$5,2,FALSE),""))</f>
        <v>Wind Stage</v>
      </c>
      <c r="F83" s="24">
        <v>0.67708333333333337</v>
      </c>
      <c r="G83" s="24">
        <v>0.69791666666666663</v>
      </c>
      <c r="H83" s="24" t="s">
        <v>10</v>
      </c>
    </row>
    <row r="84" spans="1:8" x14ac:dyDescent="0.25">
      <c r="A84" s="23">
        <f>IF(B84="","",MAX($A$1:A83)+1)</f>
        <v>83</v>
      </c>
      <c r="B84" s="14" t="s">
        <v>53</v>
      </c>
      <c r="C84" s="22">
        <v>46313</v>
      </c>
      <c r="D84" s="23" t="str">
        <f t="shared" si="4"/>
        <v>อาทิตย์</v>
      </c>
      <c r="E84" s="23" t="str">
        <f>IF(H84="","",IFERROR(VLOOKUP(H84,StageConfig!$A$2:$B$5,2,FALSE),""))</f>
        <v>Wind Stage</v>
      </c>
      <c r="F84" s="24">
        <v>0.70833333333333337</v>
      </c>
      <c r="G84" s="24">
        <v>0.72916666666666663</v>
      </c>
      <c r="H84" s="24" t="s">
        <v>10</v>
      </c>
    </row>
    <row r="85" spans="1:8" x14ac:dyDescent="0.25">
      <c r="A85" s="23">
        <f>IF(B85="","",MAX($A$1:A84)+1)</f>
        <v>84</v>
      </c>
      <c r="B85" s="14" t="s">
        <v>55</v>
      </c>
      <c r="C85" s="22">
        <v>46313</v>
      </c>
      <c r="D85" s="23" t="str">
        <f t="shared" si="4"/>
        <v>อาทิตย์</v>
      </c>
      <c r="E85" s="23" t="str">
        <f>IF(H85="","",IFERROR(VLOOKUP(H85,StageConfig!$A$2:$B$5,2,FALSE),""))</f>
        <v>Wind Stage</v>
      </c>
      <c r="F85" s="24">
        <v>0.73958333333333337</v>
      </c>
      <c r="G85" s="24">
        <v>0.76041666666666663</v>
      </c>
      <c r="H85" s="24" t="s">
        <v>10</v>
      </c>
    </row>
    <row r="86" spans="1:8" x14ac:dyDescent="0.25">
      <c r="A86" s="23">
        <f>IF(B86="","",MAX($A$1:A85)+1)</f>
        <v>85</v>
      </c>
      <c r="B86" s="14" t="s">
        <v>101</v>
      </c>
      <c r="C86" s="22">
        <v>46313</v>
      </c>
      <c r="D86" s="23" t="str">
        <f t="shared" si="4"/>
        <v>อาทิตย์</v>
      </c>
      <c r="E86" s="23" t="str">
        <f>IF(H86="","",IFERROR(VLOOKUP(H86,StageConfig!$A$2:$B$5,2,FALSE),""))</f>
        <v>Wind Stage</v>
      </c>
      <c r="F86" s="24">
        <v>0.77083333333333337</v>
      </c>
      <c r="G86" s="24">
        <v>0.79166666666666663</v>
      </c>
      <c r="H86" s="24" t="s">
        <v>10</v>
      </c>
    </row>
    <row r="87" spans="1:8" x14ac:dyDescent="0.25">
      <c r="A87" s="23" t="str">
        <f>IF(B87="","",MAX($A$1:A86)+1)</f>
        <v/>
      </c>
      <c r="D87" s="23" t="str">
        <f t="shared" si="4"/>
        <v/>
      </c>
      <c r="E87" s="23" t="str">
        <f>IF(H87="","",IFERROR(VLOOKUP(H87,StageConfig!$A$2:$B$5,2,FALSE),""))</f>
        <v/>
      </c>
      <c r="F87" s="24"/>
      <c r="G87" s="24"/>
      <c r="H87" s="24"/>
    </row>
  </sheetData>
  <conditionalFormatting sqref="D2:D86">
    <cfRule type="containsText" dxfId="22" priority="3" operator="containsText" text="ศุกร์">
      <formula>NOT(ISERROR(SEARCH("ศุกร์",D2)))</formula>
    </cfRule>
    <cfRule type="containsText" dxfId="21" priority="2" operator="containsText" text="เสาร์">
      <formula>NOT(ISERROR(SEARCH("เสาร์",D2)))</formula>
    </cfRule>
    <cfRule type="containsText" dxfId="20" priority="1" operator="containsText" text="อาทิตย์">
      <formula>NOT(ISERROR(SEARCH("อาทิตย์",D2)))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402B3F-1C2F-4986-A974-7A6268D81DFD}">
          <x14:formula1>
            <xm:f>FestivalConfig!$A$2:$A$4</xm:f>
          </x14:formula1>
          <xm:sqref>C2:C86</xm:sqref>
        </x14:dataValidation>
        <x14:dataValidation type="list" allowBlank="1" showInputMessage="1" showErrorMessage="1" xr:uid="{6A201139-FEA3-4BDD-A956-3FDA9E4E14E4}">
          <x14:formula1>
            <xm:f>StageConfig!$A$2:$A$5</xm:f>
          </x14:formula1>
          <xm:sqref>H2:H86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194C-129C-4544-8316-F03861C46CDA}">
  <sheetPr>
    <tabColor rgb="FFFF0000"/>
  </sheetPr>
  <dimension ref="A1:B5"/>
  <sheetViews>
    <sheetView zoomScale="130" zoomScaleNormal="130" workbookViewId="0">
      <selection activeCell="B11" sqref="B11"/>
    </sheetView>
  </sheetViews>
  <sheetFormatPr defaultRowHeight="19.8" x14ac:dyDescent="0.65"/>
  <cols>
    <col min="1" max="1" width="12.69921875" style="2" customWidth="1"/>
    <col min="2" max="2" width="14.8984375" style="2" customWidth="1"/>
    <col min="3" max="16384" width="8.796875" style="2"/>
  </cols>
  <sheetData>
    <row r="1" spans="1:2" ht="23.4" customHeight="1" x14ac:dyDescent="0.65">
      <c r="A1" s="3" t="s">
        <v>11</v>
      </c>
      <c r="B1" s="3" t="s">
        <v>12</v>
      </c>
    </row>
    <row r="2" spans="1:2" x14ac:dyDescent="0.65">
      <c r="A2" s="3" t="s">
        <v>7</v>
      </c>
      <c r="B2" s="4" t="s">
        <v>57</v>
      </c>
    </row>
    <row r="3" spans="1:2" x14ac:dyDescent="0.65">
      <c r="A3" s="3" t="s">
        <v>8</v>
      </c>
      <c r="B3" s="4" t="s">
        <v>58</v>
      </c>
    </row>
    <row r="4" spans="1:2" x14ac:dyDescent="0.65">
      <c r="A4" s="3" t="s">
        <v>9</v>
      </c>
      <c r="B4" s="4" t="s">
        <v>59</v>
      </c>
    </row>
    <row r="5" spans="1:2" x14ac:dyDescent="0.65">
      <c r="A5" s="3" t="s">
        <v>10</v>
      </c>
      <c r="B5" s="4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C38E-92A0-4DE6-BCC9-4D0EF501EECF}">
  <sheetPr>
    <tabColor rgb="FF00B050"/>
  </sheetPr>
  <dimension ref="A1:A5"/>
  <sheetViews>
    <sheetView zoomScale="145" zoomScaleNormal="145" workbookViewId="0">
      <selection activeCell="A13" sqref="A13"/>
    </sheetView>
  </sheetViews>
  <sheetFormatPr defaultRowHeight="19.8" x14ac:dyDescent="0.65"/>
  <cols>
    <col min="1" max="1" width="12.69921875" style="2" customWidth="1"/>
    <col min="2" max="16384" width="8.796875" style="2"/>
  </cols>
  <sheetData>
    <row r="1" spans="1:1" ht="23.4" customHeight="1" x14ac:dyDescent="0.65">
      <c r="A1" s="3" t="s">
        <v>2</v>
      </c>
    </row>
    <row r="2" spans="1:1" x14ac:dyDescent="0.65">
      <c r="A2" s="8">
        <v>46311</v>
      </c>
    </row>
    <row r="3" spans="1:1" x14ac:dyDescent="0.65">
      <c r="A3" s="8">
        <v>46312</v>
      </c>
    </row>
    <row r="4" spans="1:1" x14ac:dyDescent="0.65">
      <c r="A4" s="8">
        <v>46313</v>
      </c>
    </row>
    <row r="5" spans="1:1" x14ac:dyDescent="0.65">
      <c r="A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2</vt:i4>
      </vt:variant>
    </vt:vector>
  </HeadingPairs>
  <TitlesOfParts>
    <vt:vector size="5" baseType="lpstr">
      <vt:lpstr>Data</vt:lpstr>
      <vt:lpstr>StageConfig</vt:lpstr>
      <vt:lpstr>FestivalConfig</vt:lpstr>
      <vt:lpstr>FestivalConfig!FestivalDates</vt:lpstr>
      <vt:lpstr>StageConfig!StageID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2026-10-07T18:34:32Z</dcterms:modified>
</cp:coreProperties>
</file>